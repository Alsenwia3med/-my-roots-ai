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560cdfd03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cf05ddc5114dfa"/>
    <x:sheet xmlns:r="http://schemas.openxmlformats.org/officeDocument/2006/relationships" name="Domains" sheetId="2" r:id="R799b5400f8c14d7f"/>
    <x:sheet xmlns:r="http://schemas.openxmlformats.org/officeDocument/2006/relationships" name="Question_Mapping" sheetId="3" r:id="R9b277e26ca8c45f4"/>
    <x:sheet xmlns:r="http://schemas.openxmlformats.org/officeDocument/2006/relationships" name="Option_Points" sheetId="4" r:id="Rdcb88ddc62eb47cf"/>
    <x:sheet xmlns:r="http://schemas.openxmlformats.org/officeDocument/2006/relationships" name="Formulas" sheetId="5" r:id="Rd593098a14ed49e1"/>
    <x:sheet xmlns:r="http://schemas.openxmlformats.org/officeDocument/2006/relationships" name="Protective_Factors" sheetId="6" r:id="Rdeedcbc8e45e4c3a"/>
    <x:sheet xmlns:r="http://schemas.openxmlformats.org/officeDocument/2006/relationships" name="Classifications" sheetId="7" r:id="R9e86f7cbd8af44fb"/>
    <x:sheet xmlns:r="http://schemas.openxmlformats.org/officeDocument/2006/relationships" name="Drivers_Evidence" sheetId="8" r:id="R6823c5832b3b44a3"/>
    <x:sheet xmlns:r="http://schemas.openxmlformats.org/officeDocument/2006/relationships" name="Golden_Tests" sheetId="9" r:id="Rb8909385428e42d2"/>
    <x:sheet xmlns:r="http://schemas.openxmlformats.org/officeDocument/2006/relationships" name="QA_Checks" sheetId="10" r:id="Re85f44b4ad42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A4060"/>
      <x:name val="Carlito"/>
    </x:font>
    <x:font>
      <x:b/>
      <x:sz val="11"/>
      <x:color rgb="FFFFFFFF"/>
      <x:name val="Carlito"/>
    </x:font>
    <x:font>
      <x:b/>
      <x:sz val="10"/>
      <x:color rgb="FF1A1A1A"/>
      <x:name val="Arial"/>
    </x:font>
    <x:font>
      <x:i/>
      <x:sz val="10"/>
      <x:color rgb="FF1A1A1A"/>
      <x:name val="Arial"/>
    </x:font>
    <x:font>
      <x:sz val="10"/>
      <x:color rgb="FF1A1A1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A2A4A"/>
      </x:patternFill>
    </x:fill>
    <x:fill>
      <x:patternFill patternType="solid">
        <x:fgColor rgb="FFF3F6FA"/>
      </x:patternFill>
    </x:fill>
  </x:fills>
  <x:borders count="10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7AE60"/>
      </x:font>
      <x:fill>
        <x:patternFill>
          <x:bgColor rgb="FFE2F0D9"/>
        </x:patternFill>
      </x:fill>
    </x:dxf>
    <x:dxf>
      <x:font>
        <x:b/>
        <x:color rgb="FFC0392B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addf913a14e01" /><Relationship Type="http://schemas.openxmlformats.org/officeDocument/2006/relationships/theme" Target="/xl/theme/theme1.xml" Id="R1668c73605c24bc4" /><Relationship Type="http://schemas.microsoft.com/office/2022/11/relationships/FeaturePropertyBag" Target="/xl/featurePropertyBag/featurePropertyBag.xml" Id="R2962e175b3aa497f" /><Relationship Type="http://schemas.openxmlformats.org/officeDocument/2006/relationships/sharedStrings" Target="/xl/sharedStrings.xml" Id="R2988af27b67b4413" /><Relationship Type="http://schemas.openxmlformats.org/officeDocument/2006/relationships/worksheet" Target="/xl/worksheets/sheet1.xml" Id="R12cf05ddc5114dfa" /><Relationship Type="http://schemas.openxmlformats.org/officeDocument/2006/relationships/worksheet" Target="/xl/worksheets/sheet2.xml" Id="R799b5400f8c14d7f" /><Relationship Type="http://schemas.openxmlformats.org/officeDocument/2006/relationships/worksheet" Target="/xl/worksheets/sheet3.xml" Id="R9b277e26ca8c45f4" /><Relationship Type="http://schemas.openxmlformats.org/officeDocument/2006/relationships/worksheet" Target="/xl/worksheets/sheet4.xml" Id="Rdcb88ddc62eb47cf" /><Relationship Type="http://schemas.openxmlformats.org/officeDocument/2006/relationships/worksheet" Target="/xl/worksheets/sheet5.xml" Id="Rd593098a14ed49e1" /><Relationship Type="http://schemas.openxmlformats.org/officeDocument/2006/relationships/worksheet" Target="/xl/worksheets/sheet6.xml" Id="Rdeedcbc8e45e4c3a" /><Relationship Type="http://schemas.openxmlformats.org/officeDocument/2006/relationships/worksheet" Target="/xl/worksheets/sheet7.xml" Id="R9e86f7cbd8af44fb" /><Relationship Type="http://schemas.openxmlformats.org/officeDocument/2006/relationships/worksheet" Target="/xl/worksheets/sheet8.xml" Id="R6823c5832b3b44a3" /><Relationship Type="http://schemas.openxmlformats.org/officeDocument/2006/relationships/worksheet" Target="/xl/worksheets/sheet9.xml" Id="Rb8909385428e42d2" /><Relationship Type="http://schemas.openxmlformats.org/officeDocument/2006/relationships/worksheet" Target="/xl/worksheets/sheet10.xml" Id="Re85f44b4ad4249ba" /><Relationship Type="http://schemas.microsoft.com/office/2017/10/relationships/person" Target="/xl/persons/person.xml" Id="R01d133745f9743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Dr. Nour Kakouni" id="{8D45ED99-53DE-444D-B271-DD11FDF470F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52" hidden="0" customWidth="1"/>
    <x:col min="5" max="5" width="15" hidden="0" customWidth="1"/>
    <x:col min="6" max="6" width="16" hidden="0" customWidth="1"/>
  </x:cols>
  <x:sheetData>
    <x:row r="1" ht="30" customHeight="1">
      <x:c r="A1" s="27" t="str">
        <x:v>ROOTS-AI™ C-02 Canonical Scoring Rules v1.0.1</x:v>
      </x:c>
      <x:c r="B1" s="27"/>
      <x:c r="C1" s="27"/>
      <x:c r="D1" s="27"/>
      <x:c r="E1" s="27"/>
      <x:c r="F1" s="27"/>
    </x:row>
    <x:row r="2">
      <x:c r="A2" s="28" t="str">
        <x:v>APPROVED EXECUTABLE RULESET • Deterministic scoring only. The scores are proprietary educational wellness indicators, not validated diagnostic probabilities, medical risk scores or treatment recommendations. No demographic adjustment is permitted.</x:v>
      </x:c>
      <x:c r="B2" s="28"/>
      <x:c r="C2" s="28"/>
      <x:c r="D2" s="28"/>
      <x:c r="E2" s="28"/>
      <x:c r="F2" s="28"/>
    </x:row>
    <x:row r="3">
      <x:c r="A3" s="28"/>
      <x:c r="B3" s="28"/>
      <x:c r="C3" s="28"/>
      <x:c r="D3" s="28"/>
      <x:c r="E3" s="28"/>
      <x:c r="F3" s="28"/>
    </x:row>
    <x:row r="4">
      <x:c r="A4" s="29"/>
      <x:c r="B4" s="29"/>
      <x:c r="C4" s="29"/>
      <x:c r="D4" s="29"/>
      <x:c r="E4" s="29"/>
      <x:c r="F4" s="29"/>
    </x:row>
    <x:row r="5">
      <x:c r="A5" s="30" t="str">
        <x:v>Field</x:v>
      </x:c>
      <x:c r="B5" s="31" t="str">
        <x:v>Value</x:v>
      </x:c>
      <x:c r="C5" s="31" t="str">
        <x:v>Control</x:v>
      </x:c>
      <x:c r="D5" s="31" t="str">
        <x:v>Implementation note</x:v>
      </x:c>
      <x:c r="E5" s="31" t="str">
        <x:v>Owner</x:v>
      </x:c>
      <x:c r="F5" s="32" t="str">
        <x:v>Status</x:v>
      </x:c>
    </x:row>
    <x:row r="6">
      <x:c r="A6" s="33" t="str">
        <x:v>Dataset ID</x:v>
      </x:c>
      <x:c r="B6" s="34" t="str">
        <x:v>ROOTS-C02-SCORING-001</x:v>
      </x:c>
      <x:c r="C6" s="34" t="str">
        <x:v>Immutable</x:v>
      </x:c>
      <x:c r="D6" s="34" t="str">
        <x:v>Link every score/report to v1.0.1</x:v>
      </x:c>
      <x:c r="E6" s="34" t="str">
        <x:v>ROOTS</x:v>
      </x:c>
      <x:c r="F6" s="35" t="str">
        <x:v>Approved</x:v>
      </x:c>
    </x:row>
    <x:row r="7">
      <x:c r="A7" s="33" t="str">
        <x:v>scoring_version</x:v>
      </x:c>
      <x:c r="B7" s="34" t="str">
        <x:v>1.0.1</x:v>
      </x:c>
      <x:c r="C7" s="34" t="str">
        <x:v>Immutable</x:v>
      </x:c>
      <x:c r="D7" s="34" t="str">
        <x:v>Server-side configuration only</x:v>
      </x:c>
      <x:c r="E7" s="34" t="str">
        <x:v>ROOTS</x:v>
      </x:c>
      <x:c r="F7" s="35" t="str">
        <x:v>Approved</x:v>
      </x:c>
    </x:row>
    <x:row r="8">
      <x:c r="A8" s="33" t="str">
        <x:v>Scored questions</x:v>
      </x:c>
      <x:c r="B8" s="34" t="n">
        <x:v>40</x:v>
      </x:c>
      <x:c r="C8" s="34" t="str">
        <x:v>Exact</x:v>
      </x:c>
      <x:c r="D8" s="34" t="str">
        <x:v>All other C-01 questions are contextual-only</x:v>
      </x:c>
      <x:c r="E8" s="34" t="str">
        <x:v>ROOTS</x:v>
      </x:c>
      <x:c r="F8" s="35" t="str">
        <x:v>Approved</x:v>
      </x:c>
    </x:row>
    <x:row r="9">
      <x:c r="A9" s="33" t="str">
        <x:v>Raw burden scale</x:v>
      </x:c>
      <x:c r="B9" s="34" t="str">
        <x:v>0-4</x:v>
      </x:c>
      <x:c r="C9" s="34" t="str">
        <x:v>Exact</x:v>
      </x:c>
      <x:c r="D9" s="34" t="str">
        <x:v>0=lowest burden; 4=highest burden</x:v>
      </x:c>
      <x:c r="E9" s="34" t="str">
        <x:v>ROOTS</x:v>
      </x:c>
      <x:c r="F9" s="35" t="str">
        <x:v>Approved</x:v>
      </x:c>
    </x:row>
    <x:row r="10">
      <x:c r="A10" s="33" t="str">
        <x:v>Domain coverage threshold</x:v>
      </x:c>
      <x:c r="B10" s="34" t="str">
        <x:v>50%</x:v>
      </x:c>
      <x:c r="C10" s="34" t="str">
        <x:v>Exact</x:v>
      </x:c>
      <x:c r="D10" s="34" t="str">
        <x:v>Below threshold returns null</x:v>
      </x:c>
      <x:c r="E10" s="34" t="str">
        <x:v>ROOTS</x:v>
      </x:c>
      <x:c r="F10" s="35" t="str">
        <x:v>Approved</x:v>
      </x:c>
    </x:row>
    <x:row r="11">
      <x:c r="A11" s="33" t="str">
        <x:v>Biological State minimum</x:v>
      </x:c>
      <x:c r="B11" s="34" t="str">
        <x:v>5 of 7 domains</x:v>
      </x:c>
      <x:c r="C11" s="34" t="str">
        <x:v>Exact</x:v>
      </x:c>
      <x:c r="D11" s="34" t="str">
        <x:v>Otherwise null</x:v>
      </x:c>
      <x:c r="E11" s="34" t="str">
        <x:v>ROOTS</x:v>
      </x:c>
      <x:c r="F11" s="35" t="str">
        <x:v>Approved</x:v>
      </x:c>
    </x:row>
    <x:row r="12">
      <x:c r="A12" s="33" t="str">
        <x:v>Rounding</x:v>
      </x:c>
      <x:c r="B12" s="34" t="str">
        <x:v>Half away from zero to integer</x:v>
      </x:c>
      <x:c r="C12" s="34" t="str">
        <x:v>Exact</x:v>
      </x:c>
      <x:c r="D12" s="34" t="str">
        <x:v>Opportunity/Recovery retain one decimal</x:v>
      </x:c>
      <x:c r="E12" s="34" t="str">
        <x:v>ROOTS</x:v>
      </x:c>
      <x:c r="F12" s="35" t="str">
        <x:v>Approved</x:v>
      </x:c>
    </x:row>
    <x:row r="13">
      <x:c r="A13" s="36" t="str">
        <x:v>LLM role</x:v>
      </x:c>
      <x:c r="B13" s="37" t="str">
        <x:v>None in calculation</x:v>
      </x:c>
      <x:c r="C13" s="37" t="str">
        <x:v>Mandatory</x:v>
      </x:c>
      <x:c r="D13" s="37" t="str">
        <x:v>LLM cannot change any score, class or driver</x:v>
      </x:c>
      <x:c r="E13" s="37" t="str">
        <x:v>ROOTS</x:v>
      </x:c>
      <x:c r="F13" s="38" t="str">
        <x:v>Approved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62" hidden="0" customWidth="1"/>
    <x:col min="4" max="4" width="50" hidden="0" customWidth="1"/>
  </x:cols>
  <x:sheetData>
    <x:row r="1" ht="30" customHeight="1">
      <x:c r="A1" s="27" t="str">
        <x:v>Seven Domain Definitions</x:v>
      </x:c>
      <x:c r="B1" s="27"/>
      <x:c r="C1" s="27"/>
      <x:c r="D1" s="27"/>
    </x:row>
    <x:row r="2">
      <x:c r="A2" s="28" t="str">
        <x:v>Higher scores mean greater self-reported burden. Domain scores are not disease probabilities.</x:v>
      </x:c>
      <x:c r="B2" s="28"/>
      <x:c r="C2" s="28"/>
      <x:c r="D2" s="28"/>
    </x:row>
    <x:row r="3">
      <x:c r="A3" s="28"/>
      <x:c r="B3" s="28"/>
      <x:c r="C3" s="28"/>
      <x:c r="D3" s="28"/>
    </x:row>
    <x:row r="4">
      <x:c r="A4" s="29"/>
      <x:c r="B4" s="29"/>
      <x:c r="C4" s="29"/>
      <x:c r="D4" s="29"/>
    </x:row>
    <x:row r="5">
      <x:c r="A5" s="30" t="str">
        <x:v>domain_id</x:v>
      </x:c>
      <x:c r="B5" s="31" t="str">
        <x:v>display_name</x:v>
      </x:c>
      <x:c r="C5" s="31" t="str">
        <x:v>meaning</x:v>
      </x:c>
      <x:c r="D5" s="32" t="str">
        <x:v>formula</x:v>
      </x:c>
    </x:row>
    <x:row r="6">
      <x:c r="A6" s="33" t="str">
        <x:v>MR</x:v>
      </x:c>
      <x:c r="B6" s="34" t="str">
        <x:v>Metabolic Resistance™</x:v>
      </x:c>
      <x:c r="C6" s="34" t="str">
        <x:v>Self-reported weight-change resistance and activity context</x:v>
      </x:c>
      <x:c r="D6" s="35" t="str">
        <x:v>ROUND(SUM(answer_points)/SUM(max_points)*100)</x:v>
      </x:c>
    </x:row>
    <x:row r="7">
      <x:c r="A7" s="33" t="str">
        <x:v>HS</x:v>
      </x:c>
      <x:c r="B7" s="34" t="str">
        <x:v>Hunger &amp; Satiety Signals™</x:v>
      </x:c>
      <x:c r="C7" s="34" t="str">
        <x:v>Hunger, cravings, fullness and meal response</x:v>
      </x:c>
      <x:c r="D7" s="35" t="str">
        <x:v>ROUND(SUM(answer_points)/SUM(max_points)*100)</x:v>
      </x:c>
    </x:row>
    <x:row r="8">
      <x:c r="A8" s="33" t="str">
        <x:v>SR</x:v>
      </x:c>
      <x:c r="B8" s="34" t="str">
        <x:v>Sleep Recovery Index™</x:v>
      </x:c>
      <x:c r="C8" s="34" t="str">
        <x:v>Sleep duration, continuity and restoration</x:v>
      </x:c>
      <x:c r="D8" s="35" t="str">
        <x:v>ROUND(SUM(answer_points)/SUM(max_points)*100)</x:v>
      </x:c>
    </x:row>
    <x:row r="9">
      <x:c r="A9" s="33" t="str">
        <x:v>CH</x:v>
      </x:c>
      <x:c r="B9" s="34" t="str">
        <x:v>Circadian Health Score™</x:v>
      </x:c>
      <x:c r="C9" s="34" t="str">
        <x:v>Timing of light, screens, meals and sleep</x:v>
      </x:c>
      <x:c r="D9" s="35" t="str">
        <x:v>ROUND(SUM(answer_points)/SUM(max_points)*100)</x:v>
      </x:c>
    </x:row>
    <x:row r="10">
      <x:c r="A10" s="33" t="str">
        <x:v>SL</x:v>
      </x:c>
      <x:c r="B10" s="34" t="str">
        <x:v>Stress Load™</x:v>
      </x:c>
      <x:c r="C10" s="34" t="str">
        <x:v>Perceived tension, stress-eating and cognitive activation</x:v>
      </x:c>
      <x:c r="D10" s="35" t="str">
        <x:v>ROUND(SUM(answer_points)/SUM(max_points)*100)</x:v>
      </x:c>
    </x:row>
    <x:row r="11">
      <x:c r="A11" s="33" t="str">
        <x:v>IB</x:v>
      </x:c>
      <x:c r="B11" s="34" t="str">
        <x:v>Inflammation Burden Index™</x:v>
      </x:c>
      <x:c r="C11" s="34" t="str">
        <x:v>Non-specific self-reported symptom burden; not a biomarker</x:v>
      </x:c>
      <x:c r="D11" s="35" t="str">
        <x:v>ROUND(SUM(answer_points)/SUM(max_points)*100)</x:v>
      </x:c>
    </x:row>
    <x:row r="12">
      <x:c r="A12" s="36" t="str">
        <x:v>BS</x:v>
      </x:c>
      <x:c r="B12" s="37" t="str">
        <x:v>Biological Safety Signals™</x:v>
      </x:c>
      <x:c r="C12" s="37" t="str">
        <x:v>Perceived resistance, appetite drive and low energy</x:v>
      </x:c>
      <x:c r="D12" s="38" t="str">
        <x:v>ROUND(SUM(answer_points)/SUM(max_points)*100)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8" hidden="0" customWidth="1"/>
    <x:col min="5" max="5" width="22" hidden="0" customWidth="1"/>
    <x:col min="6" max="6" width="64" hidden="0" customWidth="1"/>
    <x:col min="7" max="7" width="22" hidden="0" customWidth="1"/>
    <x:col min="8" max="8" width="14" hidden="0" customWidth="1"/>
  </x:cols>
  <x:sheetData>
    <x:row r="1" ht="30" customHeight="1">
      <x:c r="A1" s="27" t="str">
        <x:v>Question-to-Domain Mapping — 40 Scored Items</x:v>
      </x:c>
      <x:c r="B1" s="27"/>
      <x:c r="C1" s="27"/>
      <x:c r="D1" s="27"/>
      <x:c r="E1" s="27"/>
      <x:c r="F1" s="27"/>
      <x:c r="G1" s="27"/>
      <x:c r="H1" s="27"/>
    </x:row>
    <x:row r="2">
      <x:c r="A2" s="28" t="str">
        <x:v>Every scored question maps to exactly one domain. All weights are 1.0 in v1.0.1. Q26 and Q28 are reverse-scored.</x:v>
      </x:c>
      <x:c r="B2" s="28"/>
      <x:c r="C2" s="28"/>
      <x:c r="D2" s="28"/>
      <x:c r="E2" s="28"/>
      <x:c r="F2" s="28"/>
      <x:c r="G2" s="28"/>
      <x:c r="H2" s="28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30" t="str">
        <x:v>question_id</x:v>
      </x:c>
      <x:c r="B5" s="31" t="str">
        <x:v>domain_id</x:v>
      </x:c>
      <x:c r="C5" s="31" t="str">
        <x:v>weight</x:v>
      </x:c>
      <x:c r="D5" s="31" t="str">
        <x:v>reverse_scored</x:v>
      </x:c>
      <x:c r="E5" s="31" t="str">
        <x:v>points_map</x:v>
      </x:c>
      <x:c r="F5" s="31" t="str">
        <x:v>question_reference</x:v>
      </x:c>
      <x:c r="G5" s="31" t="str">
        <x:v>normalized_range</x:v>
      </x:c>
      <x:c r="H5" s="32" t="str">
        <x:v>status</x:v>
      </x:c>
    </x:row>
    <x:row r="6">
      <x:c r="A6" s="33" t="str">
        <x:v>Q9</x:v>
      </x:c>
      <x:c r="B6" s="34" t="str">
        <x:v>MR</x:v>
      </x:c>
      <x:c r="C6" s="34" t="n">
        <x:v>1</x:v>
      </x:c>
      <x:c r="D6" s="39" t="b">
        <x:v>0</x:v>
      </x:c>
      <x:c r="E6" s="34" t="str">
        <x:v>GAIN_PATTERN</x:v>
      </x:c>
      <x:c r="F6" s="34" t="str">
        <x:v>How did the weight change that concerns you begin?</x:v>
      </x:c>
      <x:c r="G6" s="34" t="str">
        <x:v>0-4 burden points</x:v>
      </x:c>
      <x:c r="H6" s="35" t="str">
        <x:v>APPROVED</x:v>
      </x:c>
    </x:row>
    <x:row r="7">
      <x:c r="A7" s="33" t="str">
        <x:v>Q10</x:v>
      </x:c>
      <x:c r="B7" s="34" t="str">
        <x:v>MR</x:v>
      </x:c>
      <x:c r="C7" s="34" t="n">
        <x:v>1</x:v>
      </x:c>
      <x:c r="D7" s="39" t="b">
        <x:v>0</x:v>
      </x:c>
      <x:c r="E7" s="34" t="str">
        <x:v>FREQ</x:v>
      </x:c>
      <x:c r="F7" s="34" t="str">
        <x:v>How often have well-planned diet or activity efforts produced less change than you expected?</x:v>
      </x:c>
      <x:c r="G7" s="34" t="str">
        <x:v>0-4 burden points</x:v>
      </x:c>
      <x:c r="H7" s="35" t="str">
        <x:v>APPROVED</x:v>
      </x:c>
    </x:row>
    <x:row r="8">
      <x:c r="A8" s="33" t="str">
        <x:v>Q11</x:v>
      </x:c>
      <x:c r="B8" s="34" t="str">
        <x:v>MR</x:v>
      </x:c>
      <x:c r="C8" s="34" t="n">
        <x:v>1</x:v>
      </x:c>
      <x:c r="D8" s="39" t="b">
        <x:v>0</x:v>
      </x:c>
      <x:c r="E8" s="34" t="str">
        <x:v>FREQ</x:v>
      </x:c>
      <x:c r="F8" s="34" t="str">
        <x:v>After an intentional weight loss, how often has some or all of the weight returned?</x:v>
      </x:c>
      <x:c r="G8" s="34" t="str">
        <x:v>0-4 burden points</x:v>
      </x:c>
      <x:c r="H8" s="35" t="str">
        <x:v>APPROVED</x:v>
      </x:c>
    </x:row>
    <x:row r="9">
      <x:c r="A9" s="33" t="str">
        <x:v>Q12</x:v>
      </x:c>
      <x:c r="B9" s="34" t="str">
        <x:v>MR</x:v>
      </x:c>
      <x:c r="C9" s="34" t="n">
        <x:v>1</x:v>
      </x:c>
      <x:c r="D9" s="39" t="b">
        <x:v>0</x:v>
      </x:c>
      <x:c r="E9" s="34" t="str">
        <x:v>WEIGHT_CYCLES</x:v>
      </x:c>
      <x:c r="F9" s="34" t="str">
        <x:v>How many meaningful cycles of weight loss and regain have you experienced?</x:v>
      </x:c>
      <x:c r="G9" s="34" t="str">
        <x:v>0-4 burden points</x:v>
      </x:c>
      <x:c r="H9" s="35" t="str">
        <x:v>APPROVED</x:v>
      </x:c>
    </x:row>
    <x:row r="10">
      <x:c r="A10" s="33" t="str">
        <x:v>Q46</x:v>
      </x:c>
      <x:c r="B10" s="34" t="str">
        <x:v>MR</x:v>
      </x:c>
      <x:c r="C10" s="34" t="n">
        <x:v>1</x:v>
      </x:c>
      <x:c r="D10" s="39" t="b">
        <x:v>0</x:v>
      </x:c>
      <x:c r="E10" s="34" t="str">
        <x:v>ACTIVITY_DAYS</x:v>
      </x:c>
      <x:c r="F10" s="34" t="str">
        <x:v>On how many days per week do you complete intentional physical activity?</x:v>
      </x:c>
      <x:c r="G10" s="34" t="str">
        <x:v>0-4 burden points</x:v>
      </x:c>
      <x:c r="H10" s="35" t="str">
        <x:v>APPROVED</x:v>
      </x:c>
    </x:row>
    <x:row r="11">
      <x:c r="A11" s="33" t="str">
        <x:v>Q47</x:v>
      </x:c>
      <x:c r="B11" s="34" t="str">
        <x:v>MR</x:v>
      </x:c>
      <x:c r="C11" s="34" t="n">
        <x:v>1</x:v>
      </x:c>
      <x:c r="D11" s="39" t="b">
        <x:v>0</x:v>
      </x:c>
      <x:c r="E11" s="34" t="str">
        <x:v>ACTIVITY_DURATION</x:v>
      </x:c>
      <x:c r="F11" s="34" t="str">
        <x:v>On active days, what is the usual duration of your intentional activity?</x:v>
      </x:c>
      <x:c r="G11" s="34" t="str">
        <x:v>0-4 burden points</x:v>
      </x:c>
      <x:c r="H11" s="35" t="str">
        <x:v>APPROVED</x:v>
      </x:c>
    </x:row>
    <x:row r="12">
      <x:c r="A12" s="33" t="str">
        <x:v>Q48</x:v>
      </x:c>
      <x:c r="B12" s="34" t="str">
        <x:v>MR</x:v>
      </x:c>
      <x:c r="C12" s="34" t="n">
        <x:v>1</x:v>
      </x:c>
      <x:c r="D12" s="39" t="b">
        <x:v>0</x:v>
      </x:c>
      <x:c r="E12" s="34" t="str">
        <x:v>ACTIVITY_TYPE</x:v>
      </x:c>
      <x:c r="F12" s="34" t="str">
        <x:v>Which option best describes your usual physical activity pattern?</x:v>
      </x:c>
      <x:c r="G12" s="34" t="str">
        <x:v>0-4 burden points</x:v>
      </x:c>
      <x:c r="H12" s="35" t="str">
        <x:v>APPROVED</x:v>
      </x:c>
    </x:row>
    <x:row r="13">
      <x:c r="A13" s="33" t="str">
        <x:v>Q16</x:v>
      </x:c>
      <x:c r="B13" s="34" t="str">
        <x:v>SR</x:v>
      </x:c>
      <x:c r="C13" s="34" t="n">
        <x:v>1</x:v>
      </x:c>
      <x:c r="D13" s="39" t="b">
        <x:v>0</x:v>
      </x:c>
      <x:c r="E13" s="34" t="str">
        <x:v>SLEEP_HOURS</x:v>
      </x:c>
      <x:c r="F13" s="34" t="str">
        <x:v>How many hours of sleep do you typically get in a 24-hour period?</x:v>
      </x:c>
      <x:c r="G13" s="34" t="str">
        <x:v>0-4 burden points</x:v>
      </x:c>
      <x:c r="H13" s="35" t="str">
        <x:v>APPROVED</x:v>
      </x:c>
    </x:row>
    <x:row r="14">
      <x:c r="A14" s="33" t="str">
        <x:v>Q17</x:v>
      </x:c>
      <x:c r="B14" s="34" t="str">
        <x:v>SR</x:v>
      </x:c>
      <x:c r="C14" s="34" t="n">
        <x:v>1</x:v>
      </x:c>
      <x:c r="D14" s="39" t="b">
        <x:v>0</x:v>
      </x:c>
      <x:c r="E14" s="34" t="str">
        <x:v>FREQ</x:v>
      </x:c>
      <x:c r="F14" s="34" t="str">
        <x:v>How often do you feel tired even after what seemed like enough time in bed?</x:v>
      </x:c>
      <x:c r="G14" s="34" t="str">
        <x:v>0-4 burden points</x:v>
      </x:c>
      <x:c r="H14" s="35" t="str">
        <x:v>APPROVED</x:v>
      </x:c>
    </x:row>
    <x:row r="15">
      <x:c r="A15" s="33" t="str">
        <x:v>Q18</x:v>
      </x:c>
      <x:c r="B15" s="34" t="str">
        <x:v>SR</x:v>
      </x:c>
      <x:c r="C15" s="34" t="n">
        <x:v>1</x:v>
      </x:c>
      <x:c r="D15" s="39" t="b">
        <x:v>0</x:v>
      </x:c>
      <x:c r="E15" s="34" t="str">
        <x:v>FREQ</x:v>
      </x:c>
      <x:c r="F15" s="34" t="str">
        <x:v>How often do you wake during the night and struggle to return to sleep?</x:v>
      </x:c>
      <x:c r="G15" s="34" t="str">
        <x:v>0-4 burden points</x:v>
      </x:c>
      <x:c r="H15" s="35" t="str">
        <x:v>APPROVED</x:v>
      </x:c>
    </x:row>
    <x:row r="16">
      <x:c r="A16" s="33" t="str">
        <x:v>Q19</x:v>
      </x:c>
      <x:c r="B16" s="34" t="str">
        <x:v>SR</x:v>
      </x:c>
      <x:c r="C16" s="34" t="n">
        <x:v>1</x:v>
      </x:c>
      <x:c r="D16" s="39" t="b">
        <x:v>0</x:v>
      </x:c>
      <x:c r="E16" s="34" t="str">
        <x:v>FREQ</x:v>
      </x:c>
      <x:c r="F16" s="34" t="str">
        <x:v>How often is your bedtime after midnight?</x:v>
      </x:c>
      <x:c r="G16" s="34" t="str">
        <x:v>0-4 burden points</x:v>
      </x:c>
      <x:c r="H16" s="35" t="str">
        <x:v>APPROVED</x:v>
      </x:c>
    </x:row>
    <x:row r="17">
      <x:c r="A17" s="33" t="str">
        <x:v>Q20</x:v>
      </x:c>
      <x:c r="B17" s="34" t="str">
        <x:v>SR</x:v>
      </x:c>
      <x:c r="C17" s="34" t="n">
        <x:v>1</x:v>
      </x:c>
      <x:c r="D17" s="39" t="b">
        <x:v>0</x:v>
      </x:c>
      <x:c r="E17" s="34" t="str">
        <x:v>FREQ</x:v>
      </x:c>
      <x:c r="F17" s="34" t="str">
        <x:v>How often do you remain awake until 2:00 AM or later because you cannot settle to sleep?</x:v>
      </x:c>
      <x:c r="G17" s="34" t="str">
        <x:v>0-4 burden points</x:v>
      </x:c>
      <x:c r="H17" s="35" t="str">
        <x:v>APPROVED</x:v>
      </x:c>
    </x:row>
    <x:row r="18">
      <x:c r="A18" s="33" t="str">
        <x:v>Q21</x:v>
      </x:c>
      <x:c r="B18" s="34" t="str">
        <x:v>SR</x:v>
      </x:c>
      <x:c r="C18" s="34" t="n">
        <x:v>1</x:v>
      </x:c>
      <x:c r="D18" s="39" t="b">
        <x:v>0</x:v>
      </x:c>
      <x:c r="E18" s="34" t="str">
        <x:v>FREQ</x:v>
      </x:c>
      <x:c r="F18" s="34" t="str">
        <x:v>How often do you snore loudly, wake gasping, or receive feedback that your breathing pauses during sleep?</x:v>
      </x:c>
      <x:c r="G18" s="34" t="str">
        <x:v>0-4 burden points</x:v>
      </x:c>
      <x:c r="H18" s="35" t="str">
        <x:v>APPROVED</x:v>
      </x:c>
    </x:row>
    <x:row r="19">
      <x:c r="A19" s="33" t="str">
        <x:v>Q22</x:v>
      </x:c>
      <x:c r="B19" s="34" t="str">
        <x:v>SR</x:v>
      </x:c>
      <x:c r="C19" s="34" t="n">
        <x:v>1</x:v>
      </x:c>
      <x:c r="D19" s="39" t="b">
        <x:v>0</x:v>
      </x:c>
      <x:c r="E19" s="34" t="str">
        <x:v>FREQ</x:v>
      </x:c>
      <x:c r="F19" s="34" t="str">
        <x:v>How often do you experience a marked afternoon energy crash?</x:v>
      </x:c>
      <x:c r="G19" s="34" t="str">
        <x:v>0-4 burden points</x:v>
      </x:c>
      <x:c r="H19" s="35" t="str">
        <x:v>APPROVED</x:v>
      </x:c>
    </x:row>
    <x:row r="20">
      <x:c r="A20" s="33" t="str">
        <x:v>Q23</x:v>
      </x:c>
      <x:c r="B20" s="34" t="str">
        <x:v>HS</x:v>
      </x:c>
      <x:c r="C20" s="34" t="n">
        <x:v>1</x:v>
      </x:c>
      <x:c r="D20" s="39" t="b">
        <x:v>0</x:v>
      </x:c>
      <x:c r="E20" s="34" t="str">
        <x:v>FREQ</x:v>
      </x:c>
      <x:c r="F20" s="34" t="str">
        <x:v>How often do you feel physically hungry within two hours after a full meal?</x:v>
      </x:c>
      <x:c r="G20" s="34" t="str">
        <x:v>0-4 burden points</x:v>
      </x:c>
      <x:c r="H20" s="35" t="str">
        <x:v>APPROVED</x:v>
      </x:c>
    </x:row>
    <x:row r="21">
      <x:c r="A21" s="33" t="str">
        <x:v>Q24</x:v>
      </x:c>
      <x:c r="B21" s="34" t="str">
        <x:v>HS</x:v>
      </x:c>
      <x:c r="C21" s="34" t="n">
        <x:v>1</x:v>
      </x:c>
      <x:c r="D21" s="39" t="b">
        <x:v>0</x:v>
      </x:c>
      <x:c r="E21" s="34" t="str">
        <x:v>FREQ</x:v>
      </x:c>
      <x:c r="F21" s="34" t="str">
        <x:v>How often do you experience food cravings when you are not physically hungry?</x:v>
      </x:c>
      <x:c r="G21" s="34" t="str">
        <x:v>0-4 burden points</x:v>
      </x:c>
      <x:c r="H21" s="35" t="str">
        <x:v>APPROVED</x:v>
      </x:c>
    </x:row>
    <x:row r="22">
      <x:c r="A22" s="33" t="str">
        <x:v>Q25</x:v>
      </x:c>
      <x:c r="B22" s="34" t="str">
        <x:v>HS</x:v>
      </x:c>
      <x:c r="C22" s="34" t="n">
        <x:v>1</x:v>
      </x:c>
      <x:c r="D22" s="39" t="b">
        <x:v>0</x:v>
      </x:c>
      <x:c r="E22" s="34" t="str">
        <x:v>FREQ</x:v>
      </x:c>
      <x:c r="F22" s="34" t="str">
        <x:v>How often do you eat enough but still fail to feel comfortably full?</x:v>
      </x:c>
      <x:c r="G22" s="34" t="str">
        <x:v>0-4 burden points</x:v>
      </x:c>
      <x:c r="H22" s="35" t="str">
        <x:v>APPROVED</x:v>
      </x:c>
    </x:row>
    <x:row r="23">
      <x:c r="A23" s="33" t="str">
        <x:v>Q26</x:v>
      </x:c>
      <x:c r="B23" s="34" t="str">
        <x:v>HS</x:v>
      </x:c>
      <x:c r="C23" s="34" t="n">
        <x:v>1</x:v>
      </x:c>
      <x:c r="D23" s="39" t="b">
        <x:v>1</x:v>
      </x:c>
      <x:c r="E23" s="34" t="str">
        <x:v>FREQ</x:v>
      </x:c>
      <x:c r="F23" s="34" t="str">
        <x:v>How often do you feel comfortably full after a normal meal?</x:v>
      </x:c>
      <x:c r="G23" s="34" t="str">
        <x:v>0-4 burden points</x:v>
      </x:c>
      <x:c r="H23" s="35" t="str">
        <x:v>APPROVED</x:v>
      </x:c>
    </x:row>
    <x:row r="24">
      <x:c r="A24" s="33" t="str">
        <x:v>Q27</x:v>
      </x:c>
      <x:c r="B24" s="34" t="str">
        <x:v>HS</x:v>
      </x:c>
      <x:c r="C24" s="34" t="n">
        <x:v>1</x:v>
      </x:c>
      <x:c r="D24" s="39" t="b">
        <x:v>0</x:v>
      </x:c>
      <x:c r="E24" s="34" t="str">
        <x:v>FREQ</x:v>
      </x:c>
      <x:c r="F24" s="34" t="str">
        <x:v>How often are you hungry again three to four hours after a protein-rich meal?</x:v>
      </x:c>
      <x:c r="G24" s="34" t="str">
        <x:v>0-4 burden points</x:v>
      </x:c>
      <x:c r="H24" s="35" t="str">
        <x:v>APPROVED</x:v>
      </x:c>
    </x:row>
    <x:row r="25">
      <x:c r="A25" s="33" t="str">
        <x:v>Q28</x:v>
      </x:c>
      <x:c r="B25" s="34" t="str">
        <x:v>HS</x:v>
      </x:c>
      <x:c r="C25" s="34" t="n">
        <x:v>1</x:v>
      </x:c>
      <x:c r="D25" s="39" t="b">
        <x:v>1</x:v>
      </x:c>
      <x:c r="E25" s="34" t="str">
        <x:v>FREQ</x:v>
      </x:c>
      <x:c r="F25" s="34" t="str">
        <x:v>How often does a protein-rich meal keep you satisfied for four hours or longer?</x:v>
      </x:c>
      <x:c r="G25" s="34" t="str">
        <x:v>0-4 burden points</x:v>
      </x:c>
      <x:c r="H25" s="35" t="str">
        <x:v>APPROVED</x:v>
      </x:c>
    </x:row>
    <x:row r="26">
      <x:c r="A26" s="33" t="str">
        <x:v>Q29</x:v>
      </x:c>
      <x:c r="B26" s="34" t="str">
        <x:v>HS</x:v>
      </x:c>
      <x:c r="C26" s="34" t="n">
        <x:v>1</x:v>
      </x:c>
      <x:c r="D26" s="39" t="b">
        <x:v>0</x:v>
      </x:c>
      <x:c r="E26" s="34" t="str">
        <x:v>FREQ</x:v>
      </x:c>
      <x:c r="F26" s="34" t="str">
        <x:v>How often do you feel sleepy, foggy or low in energy after a main meal?</x:v>
      </x:c>
      <x:c r="G26" s="34" t="str">
        <x:v>0-4 burden points</x:v>
      </x:c>
      <x:c r="H26" s="35" t="str">
        <x:v>APPROVED</x:v>
      </x:c>
    </x:row>
    <x:row r="27">
      <x:c r="A27" s="33" t="str">
        <x:v>Q30</x:v>
      </x:c>
      <x:c r="B27" s="34" t="str">
        <x:v>HS</x:v>
      </x:c>
      <x:c r="C27" s="34" t="n">
        <x:v>1</x:v>
      </x:c>
      <x:c r="D27" s="39" t="b">
        <x:v>0</x:v>
      </x:c>
      <x:c r="E27" s="34" t="str">
        <x:v>FREQ</x:v>
      </x:c>
      <x:c r="F27" s="34" t="str">
        <x:v>When you start eating sweets or snack foods, how often is it difficult to stop at the amount you intended?</x:v>
      </x:c>
      <x:c r="G27" s="34" t="str">
        <x:v>0-4 burden points</x:v>
      </x:c>
      <x:c r="H27" s="35" t="str">
        <x:v>APPROVED</x:v>
      </x:c>
    </x:row>
    <x:row r="28">
      <x:c r="A28" s="33" t="str">
        <x:v>Q31</x:v>
      </x:c>
      <x:c r="B28" s="34" t="str">
        <x:v>SL</x:v>
      </x:c>
      <x:c r="C28" s="34" t="n">
        <x:v>1</x:v>
      </x:c>
      <x:c r="D28" s="39" t="b">
        <x:v>0</x:v>
      </x:c>
      <x:c r="E28" s="34" t="str">
        <x:v>FREQ</x:v>
      </x:c>
      <x:c r="F28" s="34" t="str">
        <x:v>How often do you feel persistent physical tension or stress?</x:v>
      </x:c>
      <x:c r="G28" s="34" t="str">
        <x:v>0-4 burden points</x:v>
      </x:c>
      <x:c r="H28" s="35" t="str">
        <x:v>APPROVED</x:v>
      </x:c>
    </x:row>
    <x:row r="29">
      <x:c r="A29" s="33" t="str">
        <x:v>Q32</x:v>
      </x:c>
      <x:c r="B29" s="34" t="str">
        <x:v>SL</x:v>
      </x:c>
      <x:c r="C29" s="34" t="n">
        <x:v>1</x:v>
      </x:c>
      <x:c r="D29" s="39" t="b">
        <x:v>0</x:v>
      </x:c>
      <x:c r="E29" s="34" t="str">
        <x:v>FREQ</x:v>
      </x:c>
      <x:c r="F29" s="34" t="str">
        <x:v>How often does stress increase your desire to eat?</x:v>
      </x:c>
      <x:c r="G29" s="34" t="str">
        <x:v>0-4 burden points</x:v>
      </x:c>
      <x:c r="H29" s="35" t="str">
        <x:v>APPROVED</x:v>
      </x:c>
    </x:row>
    <x:row r="30">
      <x:c r="A30" s="33" t="str">
        <x:v>Q33</x:v>
      </x:c>
      <x:c r="B30" s="34" t="str">
        <x:v>SL</x:v>
      </x:c>
      <x:c r="C30" s="34" t="n">
        <x:v>1</x:v>
      </x:c>
      <x:c r="D30" s="39" t="b">
        <x:v>0</x:v>
      </x:c>
      <x:c r="E30" s="34" t="str">
        <x:v>FREQ</x:v>
      </x:c>
      <x:c r="F30" s="34" t="str">
        <x:v>How often does your mind race when you are trying to sleep?</x:v>
      </x:c>
      <x:c r="G30" s="34" t="str">
        <x:v>0-4 burden points</x:v>
      </x:c>
      <x:c r="H30" s="35" t="str">
        <x:v>APPROVED</x:v>
      </x:c>
    </x:row>
    <x:row r="31">
      <x:c r="A31" s="33" t="str">
        <x:v>Q34</x:v>
      </x:c>
      <x:c r="B31" s="34" t="str">
        <x:v>SL</x:v>
      </x:c>
      <x:c r="C31" s="34" t="n">
        <x:v>1</x:v>
      </x:c>
      <x:c r="D31" s="39" t="b">
        <x:v>0</x:v>
      </x:c>
      <x:c r="E31" s="34" t="str">
        <x:v>FREQ</x:v>
      </x:c>
      <x:c r="F31" s="34" t="str">
        <x:v>How often are cravings noticeably stronger in the evening?</x:v>
      </x:c>
      <x:c r="G31" s="34" t="str">
        <x:v>0-4 burden points</x:v>
      </x:c>
      <x:c r="H31" s="35" t="str">
        <x:v>APPROVED</x:v>
      </x:c>
    </x:row>
    <x:row r="32">
      <x:c r="A32" s="33" t="str">
        <x:v>Q35</x:v>
      </x:c>
      <x:c r="B32" s="34" t="str">
        <x:v>IB</x:v>
      </x:c>
      <x:c r="C32" s="34" t="n">
        <x:v>1</x:v>
      </x:c>
      <x:c r="D32" s="39" t="b">
        <x:v>0</x:v>
      </x:c>
      <x:c r="E32" s="34" t="str">
        <x:v>FREQ</x:v>
      </x:c>
      <x:c r="F32" s="34" t="str">
        <x:v>How often do you experience bloating, gas or digestive discomfort?</x:v>
      </x:c>
      <x:c r="G32" s="34" t="str">
        <x:v>0-4 burden points</x:v>
      </x:c>
      <x:c r="H32" s="35" t="str">
        <x:v>APPROVED</x:v>
      </x:c>
    </x:row>
    <x:row r="33">
      <x:c r="A33" s="33" t="str">
        <x:v>Q36</x:v>
      </x:c>
      <x:c r="B33" s="34" t="str">
        <x:v>IB</x:v>
      </x:c>
      <x:c r="C33" s="34" t="n">
        <x:v>1</x:v>
      </x:c>
      <x:c r="D33" s="39" t="b">
        <x:v>0</x:v>
      </x:c>
      <x:c r="E33" s="34" t="str">
        <x:v>FREQ</x:v>
      </x:c>
      <x:c r="F33" s="34" t="str">
        <x:v>How often do you experience brain fog after meals?</x:v>
      </x:c>
      <x:c r="G33" s="34" t="str">
        <x:v>0-4 burden points</x:v>
      </x:c>
      <x:c r="H33" s="35" t="str">
        <x:v>APPROVED</x:v>
      </x:c>
    </x:row>
    <x:row r="34">
      <x:c r="A34" s="33" t="str">
        <x:v>Q37</x:v>
      </x:c>
      <x:c r="B34" s="34" t="str">
        <x:v>IB</x:v>
      </x:c>
      <x:c r="C34" s="34" t="n">
        <x:v>1</x:v>
      </x:c>
      <x:c r="D34" s="39" t="b">
        <x:v>0</x:v>
      </x:c>
      <x:c r="E34" s="34" t="str">
        <x:v>FREQ</x:v>
      </x:c>
      <x:c r="F34" s="34" t="str">
        <x:v>How often do you experience unexplained joint pain or stiffness?</x:v>
      </x:c>
      <x:c r="G34" s="34" t="str">
        <x:v>0-4 burden points</x:v>
      </x:c>
      <x:c r="H34" s="35" t="str">
        <x:v>APPROVED</x:v>
      </x:c>
    </x:row>
    <x:row r="35">
      <x:c r="A35" s="33" t="str">
        <x:v>Q38</x:v>
      </x:c>
      <x:c r="B35" s="34" t="str">
        <x:v>IB</x:v>
      </x:c>
      <x:c r="C35" s="34" t="n">
        <x:v>1</x:v>
      </x:c>
      <x:c r="D35" s="39" t="b">
        <x:v>0</x:v>
      </x:c>
      <x:c r="E35" s="34" t="str">
        <x:v>FREQ</x:v>
      </x:c>
      <x:c r="F35" s="34" t="str">
        <x:v>How often does fat around your waist seem resistant to your usual efforts?</x:v>
      </x:c>
      <x:c r="G35" s="34" t="str">
        <x:v>0-4 burden points</x:v>
      </x:c>
      <x:c r="H35" s="35" t="str">
        <x:v>APPROVED</x:v>
      </x:c>
    </x:row>
    <x:row r="36">
      <x:c r="A36" s="33" t="str">
        <x:v>Q39</x:v>
      </x:c>
      <x:c r="B36" s="34" t="str">
        <x:v>IB</x:v>
      </x:c>
      <x:c r="C36" s="34" t="n">
        <x:v>1</x:v>
      </x:c>
      <x:c r="D36" s="39" t="b">
        <x:v>0</x:v>
      </x:c>
      <x:c r="E36" s="34" t="str">
        <x:v>FREQ</x:v>
      </x:c>
      <x:c r="F36" s="34" t="str">
        <x:v>How often do you experience unusual thirst or a dry mouth?</x:v>
      </x:c>
      <x:c r="G36" s="34" t="str">
        <x:v>0-4 burden points</x:v>
      </x:c>
      <x:c r="H36" s="35" t="str">
        <x:v>APPROVED</x:v>
      </x:c>
    </x:row>
    <x:row r="37">
      <x:c r="A37" s="33" t="str">
        <x:v>Q40</x:v>
      </x:c>
      <x:c r="B37" s="34" t="str">
        <x:v>IB</x:v>
      </x:c>
      <x:c r="C37" s="34" t="n">
        <x:v>1</x:v>
      </x:c>
      <x:c r="D37" s="39" t="b">
        <x:v>0</x:v>
      </x:c>
      <x:c r="E37" s="34" t="str">
        <x:v>FREQ</x:v>
      </x:c>
      <x:c r="F37" s="34" t="str">
        <x:v>How often have reducing calories and increasing activity produced little sustained change?</x:v>
      </x:c>
      <x:c r="G37" s="34" t="str">
        <x:v>0-4 burden points</x:v>
      </x:c>
      <x:c r="H37" s="35" t="str">
        <x:v>APPROVED</x:v>
      </x:c>
    </x:row>
    <x:row r="38">
      <x:c r="A38" s="33" t="str">
        <x:v>Q41</x:v>
      </x:c>
      <x:c r="B38" s="34" t="str">
        <x:v>CH</x:v>
      </x:c>
      <x:c r="C38" s="34" t="n">
        <x:v>1</x:v>
      </x:c>
      <x:c r="D38" s="39" t="b">
        <x:v>0</x:v>
      </x:c>
      <x:c r="E38" s="34" t="str">
        <x:v>FREQ</x:v>
      </x:c>
      <x:c r="F38" s="34" t="str">
        <x:v>How often do you spend the first hour after waking indoors without natural daylight exposure?</x:v>
      </x:c>
      <x:c r="G38" s="34" t="str">
        <x:v>0-4 burden points</x:v>
      </x:c>
      <x:c r="H38" s="35" t="str">
        <x:v>APPROVED</x:v>
      </x:c>
    </x:row>
    <x:row r="39">
      <x:c r="A39" s="33" t="str">
        <x:v>Q42</x:v>
      </x:c>
      <x:c r="B39" s="34" t="str">
        <x:v>CH</x:v>
      </x:c>
      <x:c r="C39" s="34" t="n">
        <x:v>1</x:v>
      </x:c>
      <x:c r="D39" s="39" t="b">
        <x:v>0</x:v>
      </x:c>
      <x:c r="E39" s="34" t="str">
        <x:v>FREQ</x:v>
      </x:c>
      <x:c r="F39" s="34" t="str">
        <x:v>How often do you use a phone, tablet or computer during the final hour before sleep?</x:v>
      </x:c>
      <x:c r="G39" s="34" t="str">
        <x:v>0-4 burden points</x:v>
      </x:c>
      <x:c r="H39" s="35" t="str">
        <x:v>APPROVED</x:v>
      </x:c>
    </x:row>
    <x:row r="40">
      <x:c r="A40" s="33" t="str">
        <x:v>Q43</x:v>
      </x:c>
      <x:c r="B40" s="34" t="str">
        <x:v>CH</x:v>
      </x:c>
      <x:c r="C40" s="34" t="n">
        <x:v>1</x:v>
      </x:c>
      <x:c r="D40" s="39" t="b">
        <x:v>0</x:v>
      </x:c>
      <x:c r="E40" s="34" t="str">
        <x:v>FREQ</x:v>
      </x:c>
      <x:c r="F40" s="34" t="str">
        <x:v>How often do you eat within three hours of bedtime?</x:v>
      </x:c>
      <x:c r="G40" s="34" t="str">
        <x:v>0-4 burden points</x:v>
      </x:c>
      <x:c r="H40" s="35" t="str">
        <x:v>APPROVED</x:v>
      </x:c>
    </x:row>
    <x:row r="41">
      <x:c r="A41" s="33" t="str">
        <x:v>Q44</x:v>
      </x:c>
      <x:c r="B41" s="34" t="str">
        <x:v>CH</x:v>
      </x:c>
      <x:c r="C41" s="34" t="n">
        <x:v>1</x:v>
      </x:c>
      <x:c r="D41" s="39" t="b">
        <x:v>0</x:v>
      </x:c>
      <x:c r="E41" s="34" t="str">
        <x:v>FREQ</x:v>
      </x:c>
      <x:c r="F41" s="34" t="str">
        <x:v>How often does your sleep schedule vary by more than two hours across the week?</x:v>
      </x:c>
      <x:c r="G41" s="34" t="str">
        <x:v>0-4 burden points</x:v>
      </x:c>
      <x:c r="H41" s="35" t="str">
        <x:v>APPROVED</x:v>
      </x:c>
    </x:row>
    <x:row r="42">
      <x:c r="A42" s="33" t="str">
        <x:v>Q45</x:v>
      </x:c>
      <x:c r="B42" s="34" t="str">
        <x:v>CH</x:v>
      </x:c>
      <x:c r="C42" s="34" t="n">
        <x:v>1</x:v>
      </x:c>
      <x:c r="D42" s="39" t="b">
        <x:v>0</x:v>
      </x:c>
      <x:c r="E42" s="34" t="str">
        <x:v>FREQ</x:v>
      </x:c>
      <x:c r="F42" s="34" t="str">
        <x:v>How often do you feel more alert late at night than during the morning?</x:v>
      </x:c>
      <x:c r="G42" s="34" t="str">
        <x:v>0-4 burden points</x:v>
      </x:c>
      <x:c r="H42" s="35" t="str">
        <x:v>APPROVED</x:v>
      </x:c>
    </x:row>
    <x:row r="43">
      <x:c r="A43" s="33" t="str">
        <x:v>Q49</x:v>
      </x:c>
      <x:c r="B43" s="34" t="str">
        <x:v>BS</x:v>
      </x:c>
      <x:c r="C43" s="34" t="n">
        <x:v>1</x:v>
      </x:c>
      <x:c r="D43" s="39" t="b">
        <x:v>0</x:v>
      </x:c>
      <x:c r="E43" s="34" t="str">
        <x:v>FREQ</x:v>
      </x:c>
      <x:c r="F43" s="34" t="str">
        <x:v>How often does your body seem to resist weight loss despite consistent effort?</x:v>
      </x:c>
      <x:c r="G43" s="34" t="str">
        <x:v>0-4 burden points</x:v>
      </x:c>
      <x:c r="H43" s="35" t="str">
        <x:v>APPROVED</x:v>
      </x:c>
    </x:row>
    <x:row r="44">
      <x:c r="A44" s="33" t="str">
        <x:v>Q50</x:v>
      </x:c>
      <x:c r="B44" s="34" t="str">
        <x:v>BS</x:v>
      </x:c>
      <x:c r="C44" s="34" t="n">
        <x:v>1</x:v>
      </x:c>
      <x:c r="D44" s="39" t="b">
        <x:v>0</x:v>
      </x:c>
      <x:c r="E44" s="34" t="str">
        <x:v>FREQ</x:v>
      </x:c>
      <x:c r="F44" s="34" t="str">
        <x:v>How often does hunger feel stronger than your ability to regulate it?</x:v>
      </x:c>
      <x:c r="G44" s="34" t="str">
        <x:v>0-4 burden points</x:v>
      </x:c>
      <x:c r="H44" s="35" t="str">
        <x:v>APPROVED</x:v>
      </x:c>
    </x:row>
    <x:row r="45">
      <x:c r="A45" s="36" t="str">
        <x:v>Q51</x:v>
      </x:c>
      <x:c r="B45" s="37" t="str">
        <x:v>BS</x:v>
      </x:c>
      <x:c r="C45" s="37" t="n">
        <x:v>1</x:v>
      </x:c>
      <x:c r="D45" s="40" t="b">
        <x:v>0</x:v>
      </x:c>
      <x:c r="E45" s="37" t="str">
        <x:v>FREQ</x:v>
      </x:c>
      <x:c r="F45" s="37" t="str">
        <x:v>How often are your energy levels lower than you believe they should be?</x:v>
      </x:c>
      <x:c r="G45" s="37" t="str">
        <x:v>0-4 burden points</x:v>
      </x:c>
      <x:c r="H45" s="38" t="str">
        <x:v>APPROVED</x:v>
      </x:c>
    </x:row>
  </x:sheetData>
  <x:mergeCells>
    <x:mergeCell ref="A1:H1"/>
    <x:mergeCell ref="A2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0" hidden="0" customWidth="1"/>
    <x:col min="5" max="5" width="44" hidden="0" customWidth="1"/>
    <x:col min="6" max="6" width="18" hidden="0" customWidth="1"/>
    <x:col min="7" max="7" width="18" hidden="0" customWidth="1"/>
  </x:cols>
  <x:sheetData>
    <x:row r="1" ht="30" customHeight="1">
      <x:c r="A1" s="27" t="str">
        <x:v>Explicit Scoring Option Points</x:v>
      </x:c>
      <x:c r="B1" s="27"/>
      <x:c r="C1" s="27"/>
      <x:c r="D1" s="27"/>
      <x:c r="E1" s="27"/>
      <x:c r="F1" s="27"/>
      <x:c r="G1" s="27"/>
    </x:row>
    <x:row r="2">
      <x:c r="A2" s="28" t="str">
        <x:v>For FREQ items, stored burden points are 0-4 except reverse-scored Q26/Q28, where points = 4 - raw frequency value. N/A has no points and is excluded.</x:v>
      </x:c>
      <x:c r="B2" s="28"/>
      <x:c r="C2" s="28"/>
      <x:c r="D2" s="28"/>
      <x:c r="E2" s="28"/>
      <x:c r="F2" s="28"/>
      <x:c r="G2" s="28"/>
    </x:row>
    <x:row r="3">
      <x:c r="A3" s="28"/>
      <x:c r="B3" s="28"/>
      <x:c r="C3" s="28"/>
      <x:c r="D3" s="28"/>
      <x:c r="E3" s="28"/>
      <x:c r="F3" s="28"/>
      <x:c r="G3" s="28"/>
    </x:row>
    <x:row r="4">
      <x:c r="A4" s="29"/>
      <x:c r="B4" s="29"/>
      <x:c r="C4" s="29"/>
      <x:c r="D4" s="29"/>
      <x:c r="E4" s="29"/>
      <x:c r="F4" s="29"/>
      <x:c r="G4" s="29"/>
    </x:row>
    <x:row r="5">
      <x:c r="A5" s="30" t="str">
        <x:v>question_id</x:v>
      </x:c>
      <x:c r="B5" s="31" t="str">
        <x:v>domain_id</x:v>
      </x:c>
      <x:c r="C5" s="31" t="str">
        <x:v>option_set_id</x:v>
      </x:c>
      <x:c r="D5" s="31" t="str">
        <x:v>option_id</x:v>
      </x:c>
      <x:c r="E5" s="31" t="str">
        <x:v>display_label</x:v>
      </x:c>
      <x:c r="F5" s="31" t="str">
        <x:v>burden_points</x:v>
      </x:c>
      <x:c r="G5" s="32" t="str">
        <x:v>excluded_as_na</x:v>
      </x:c>
    </x:row>
    <x:row r="6">
      <x:c r="A6" s="33" t="str">
        <x:v>Q9</x:v>
      </x:c>
      <x:c r="B6" s="34" t="str">
        <x:v>MR</x:v>
      </x:c>
      <x:c r="C6" s="34" t="str">
        <x:v>GAIN_PATTERN</x:v>
      </x:c>
      <x:c r="D6" s="34" t="str">
        <x:v>STABLE</x:v>
      </x:c>
      <x:c r="E6" s="34" t="str">
        <x:v>No concerning change or mostly stable</x:v>
      </x:c>
      <x:c r="F6" s="34" t="n">
        <x:v>0</x:v>
      </x:c>
      <x:c r="G6" s="41" t="b">
        <x:v>0</x:v>
      </x:c>
    </x:row>
    <x:row r="7">
      <x:c r="A7" s="33" t="str">
        <x:v>Q9</x:v>
      </x:c>
      <x:c r="B7" s="34" t="str">
        <x:v>MR</x:v>
      </x:c>
      <x:c r="C7" s="34" t="str">
        <x:v>GAIN_PATTERN</x:v>
      </x:c>
      <x:c r="D7" s="34" t="str">
        <x:v>IDENTIFIABLE</x:v>
      </x:c>
      <x:c r="E7" s="34" t="str">
        <x:v>After an identifiable life period or event</x:v>
      </x:c>
      <x:c r="F7" s="34" t="n">
        <x:v>1</x:v>
      </x:c>
      <x:c r="G7" s="41" t="b">
        <x:v>0</x:v>
      </x:c>
    </x:row>
    <x:row r="8">
      <x:c r="A8" s="33" t="str">
        <x:v>Q9</x:v>
      </x:c>
      <x:c r="B8" s="34" t="str">
        <x:v>MR</x:v>
      </x:c>
      <x:c r="C8" s="34" t="str">
        <x:v>GAIN_PATTERN</x:v>
      </x:c>
      <x:c r="D8" s="34" t="str">
        <x:v>GRADUAL</x:v>
      </x:c>
      <x:c r="E8" s="34" t="str">
        <x:v>Gradually with no single clear reason</x:v>
      </x:c>
      <x:c r="F8" s="34" t="n">
        <x:v>2</x:v>
      </x:c>
      <x:c r="G8" s="41" t="b">
        <x:v>0</x:v>
      </x:c>
    </x:row>
    <x:row r="9">
      <x:c r="A9" s="33" t="str">
        <x:v>Q9</x:v>
      </x:c>
      <x:c r="B9" s="34" t="str">
        <x:v>MR</x:v>
      </x:c>
      <x:c r="C9" s="34" t="str">
        <x:v>GAIN_PATTERN</x:v>
      </x:c>
      <x:c r="D9" s="34" t="str">
        <x:v>CYCLING</x:v>
      </x:c>
      <x:c r="E9" s="34" t="str">
        <x:v>In repeated cycles of loss and regain</x:v>
      </x:c>
      <x:c r="F9" s="34" t="n">
        <x:v>3</x:v>
      </x:c>
      <x:c r="G9" s="41" t="b">
        <x:v>0</x:v>
      </x:c>
    </x:row>
    <x:row r="10">
      <x:c r="A10" s="33" t="str">
        <x:v>Q9</x:v>
      </x:c>
      <x:c r="B10" s="34" t="str">
        <x:v>MR</x:v>
      </x:c>
      <x:c r="C10" s="34" t="str">
        <x:v>GAIN_PATTERN</x:v>
      </x:c>
      <x:c r="D10" s="34" t="str">
        <x:v>RAPID</x:v>
      </x:c>
      <x:c r="E10" s="34" t="str">
        <x:v>Rapidly or unexpectedly</x:v>
      </x:c>
      <x:c r="F10" s="34" t="n">
        <x:v>4</x:v>
      </x:c>
      <x:c r="G10" s="41" t="b">
        <x:v>0</x:v>
      </x:c>
    </x:row>
    <x:row r="11">
      <x:c r="A11" s="33" t="str">
        <x:v>Q9</x:v>
      </x:c>
      <x:c r="B11" s="34" t="str">
        <x:v>MR</x:v>
      </x:c>
      <x:c r="C11" s="34" t="str">
        <x:v>GAIN_PATTERN</x:v>
      </x:c>
      <x:c r="D11" s="34" t="str">
        <x:v>NA</x:v>
      </x:c>
      <x:c r="E11" s="34" t="str">
        <x:v>Not applicable</x:v>
      </x:c>
      <x:c r="F11" s="34"/>
      <x:c r="G11" s="41" t="b">
        <x:v>1</x:v>
      </x:c>
    </x:row>
    <x:row r="12">
      <x:c r="A12" s="33" t="str">
        <x:v>Q10</x:v>
      </x:c>
      <x:c r="B12" s="34" t="str">
        <x:v>MR</x:v>
      </x:c>
      <x:c r="C12" s="34" t="str">
        <x:v>FREQ</x:v>
      </x:c>
      <x:c r="D12" s="34" t="str">
        <x:v>NVR</x:v>
      </x:c>
      <x:c r="E12" s="34" t="str">
        <x:v>Never</x:v>
      </x:c>
      <x:c r="F12" s="34" t="n">
        <x:v>0</x:v>
      </x:c>
      <x:c r="G12" s="41" t="b">
        <x:v>0</x:v>
      </x:c>
    </x:row>
    <x:row r="13">
      <x:c r="A13" s="33" t="str">
        <x:v>Q10</x:v>
      </x:c>
      <x:c r="B13" s="34" t="str">
        <x:v>MR</x:v>
      </x:c>
      <x:c r="C13" s="34" t="str">
        <x:v>FREQ</x:v>
      </x:c>
      <x:c r="D13" s="34" t="str">
        <x:v>RLY</x:v>
      </x:c>
      <x:c r="E13" s="34" t="str">
        <x:v>Rarely</x:v>
      </x:c>
      <x:c r="F13" s="34" t="n">
        <x:v>1</x:v>
      </x:c>
      <x:c r="G13" s="41" t="b">
        <x:v>0</x:v>
      </x:c>
    </x:row>
    <x:row r="14">
      <x:c r="A14" s="33" t="str">
        <x:v>Q10</x:v>
      </x:c>
      <x:c r="B14" s="34" t="str">
        <x:v>MR</x:v>
      </x:c>
      <x:c r="C14" s="34" t="str">
        <x:v>FREQ</x:v>
      </x:c>
      <x:c r="D14" s="34" t="str">
        <x:v>SMT</x:v>
      </x:c>
      <x:c r="E14" s="34" t="str">
        <x:v>Sometimes</x:v>
      </x:c>
      <x:c r="F14" s="34" t="n">
        <x:v>2</x:v>
      </x:c>
      <x:c r="G14" s="41" t="b">
        <x:v>0</x:v>
      </x:c>
    </x:row>
    <x:row r="15">
      <x:c r="A15" s="33" t="str">
        <x:v>Q10</x:v>
      </x:c>
      <x:c r="B15" s="34" t="str">
        <x:v>MR</x:v>
      </x:c>
      <x:c r="C15" s="34" t="str">
        <x:v>FREQ</x:v>
      </x:c>
      <x:c r="D15" s="34" t="str">
        <x:v>OFT</x:v>
      </x:c>
      <x:c r="E15" s="34" t="str">
        <x:v>Often</x:v>
      </x:c>
      <x:c r="F15" s="34" t="n">
        <x:v>3</x:v>
      </x:c>
      <x:c r="G15" s="41" t="b">
        <x:v>0</x:v>
      </x:c>
    </x:row>
    <x:row r="16">
      <x:c r="A16" s="33" t="str">
        <x:v>Q10</x:v>
      </x:c>
      <x:c r="B16" s="34" t="str">
        <x:v>MR</x:v>
      </x:c>
      <x:c r="C16" s="34" t="str">
        <x:v>FREQ</x:v>
      </x:c>
      <x:c r="D16" s="34" t="str">
        <x:v>ALW</x:v>
      </x:c>
      <x:c r="E16" s="34" t="str">
        <x:v>Almost always</x:v>
      </x:c>
      <x:c r="F16" s="34" t="n">
        <x:v>4</x:v>
      </x:c>
      <x:c r="G16" s="41" t="b">
        <x:v>0</x:v>
      </x:c>
    </x:row>
    <x:row r="17">
      <x:c r="A17" s="33" t="str">
        <x:v>Q10</x:v>
      </x:c>
      <x:c r="B17" s="34" t="str">
        <x:v>MR</x:v>
      </x:c>
      <x:c r="C17" s="34" t="str">
        <x:v>FREQ</x:v>
      </x:c>
      <x:c r="D17" s="34" t="str">
        <x:v>NA</x:v>
      </x:c>
      <x:c r="E17" s="34" t="str">
        <x:v>Not applicable</x:v>
      </x:c>
      <x:c r="F17" s="34"/>
      <x:c r="G17" s="41" t="b">
        <x:v>1</x:v>
      </x:c>
    </x:row>
    <x:row r="18">
      <x:c r="A18" s="33" t="str">
        <x:v>Q11</x:v>
      </x:c>
      <x:c r="B18" s="34" t="str">
        <x:v>MR</x:v>
      </x:c>
      <x:c r="C18" s="34" t="str">
        <x:v>FREQ</x:v>
      </x:c>
      <x:c r="D18" s="34" t="str">
        <x:v>NVR</x:v>
      </x:c>
      <x:c r="E18" s="34" t="str">
        <x:v>Never</x:v>
      </x:c>
      <x:c r="F18" s="34" t="n">
        <x:v>0</x:v>
      </x:c>
      <x:c r="G18" s="41" t="b">
        <x:v>0</x:v>
      </x:c>
    </x:row>
    <x:row r="19">
      <x:c r="A19" s="33" t="str">
        <x:v>Q11</x:v>
      </x:c>
      <x:c r="B19" s="34" t="str">
        <x:v>MR</x:v>
      </x:c>
      <x:c r="C19" s="34" t="str">
        <x:v>FREQ</x:v>
      </x:c>
      <x:c r="D19" s="34" t="str">
        <x:v>RLY</x:v>
      </x:c>
      <x:c r="E19" s="34" t="str">
        <x:v>Rarely</x:v>
      </x:c>
      <x:c r="F19" s="34" t="n">
        <x:v>1</x:v>
      </x:c>
      <x:c r="G19" s="41" t="b">
        <x:v>0</x:v>
      </x:c>
    </x:row>
    <x:row r="20">
      <x:c r="A20" s="33" t="str">
        <x:v>Q11</x:v>
      </x:c>
      <x:c r="B20" s="34" t="str">
        <x:v>MR</x:v>
      </x:c>
      <x:c r="C20" s="34" t="str">
        <x:v>FREQ</x:v>
      </x:c>
      <x:c r="D20" s="34" t="str">
        <x:v>SMT</x:v>
      </x:c>
      <x:c r="E20" s="34" t="str">
        <x:v>Sometimes</x:v>
      </x:c>
      <x:c r="F20" s="34" t="n">
        <x:v>2</x:v>
      </x:c>
      <x:c r="G20" s="41" t="b">
        <x:v>0</x:v>
      </x:c>
    </x:row>
    <x:row r="21">
      <x:c r="A21" s="33" t="str">
        <x:v>Q11</x:v>
      </x:c>
      <x:c r="B21" s="34" t="str">
        <x:v>MR</x:v>
      </x:c>
      <x:c r="C21" s="34" t="str">
        <x:v>FREQ</x:v>
      </x:c>
      <x:c r="D21" s="34" t="str">
        <x:v>OFT</x:v>
      </x:c>
      <x:c r="E21" s="34" t="str">
        <x:v>Often</x:v>
      </x:c>
      <x:c r="F21" s="34" t="n">
        <x:v>3</x:v>
      </x:c>
      <x:c r="G21" s="41" t="b">
        <x:v>0</x:v>
      </x:c>
    </x:row>
    <x:row r="22">
      <x:c r="A22" s="33" t="str">
        <x:v>Q11</x:v>
      </x:c>
      <x:c r="B22" s="34" t="str">
        <x:v>MR</x:v>
      </x:c>
      <x:c r="C22" s="34" t="str">
        <x:v>FREQ</x:v>
      </x:c>
      <x:c r="D22" s="34" t="str">
        <x:v>ALW</x:v>
      </x:c>
      <x:c r="E22" s="34" t="str">
        <x:v>Almost always</x:v>
      </x:c>
      <x:c r="F22" s="34" t="n">
        <x:v>4</x:v>
      </x:c>
      <x:c r="G22" s="41" t="b">
        <x:v>0</x:v>
      </x:c>
    </x:row>
    <x:row r="23">
      <x:c r="A23" s="33" t="str">
        <x:v>Q11</x:v>
      </x:c>
      <x:c r="B23" s="34" t="str">
        <x:v>MR</x:v>
      </x:c>
      <x:c r="C23" s="34" t="str">
        <x:v>FREQ</x:v>
      </x:c>
      <x:c r="D23" s="34" t="str">
        <x:v>NA</x:v>
      </x:c>
      <x:c r="E23" s="34" t="str">
        <x:v>Not applicable</x:v>
      </x:c>
      <x:c r="F23" s="34"/>
      <x:c r="G23" s="41" t="b">
        <x:v>1</x:v>
      </x:c>
    </x:row>
    <x:row r="24">
      <x:c r="A24" s="33" t="str">
        <x:v>Q12</x:v>
      </x:c>
      <x:c r="B24" s="34" t="str">
        <x:v>MR</x:v>
      </x:c>
      <x:c r="C24" s="34" t="str">
        <x:v>WEIGHT_CYCLES</x:v>
      </x:c>
      <x:c r="D24" s="34" t="str">
        <x:v>NONE</x:v>
      </x:c>
      <x:c r="E24" s="34" t="str">
        <x:v>None</x:v>
      </x:c>
      <x:c r="F24" s="34" t="n">
        <x:v>0</x:v>
      </x:c>
      <x:c r="G24" s="41" t="b">
        <x:v>0</x:v>
      </x:c>
    </x:row>
    <x:row r="25">
      <x:c r="A25" s="33" t="str">
        <x:v>Q12</x:v>
      </x:c>
      <x:c r="B25" s="34" t="str">
        <x:v>MR</x:v>
      </x:c>
      <x:c r="C25" s="34" t="str">
        <x:v>WEIGHT_CYCLES</x:v>
      </x:c>
      <x:c r="D25" s="34" t="str">
        <x:v>ONE</x:v>
      </x:c>
      <x:c r="E25" s="34" t="str">
        <x:v>One</x:v>
      </x:c>
      <x:c r="F25" s="34" t="n">
        <x:v>1</x:v>
      </x:c>
      <x:c r="G25" s="41" t="b">
        <x:v>0</x:v>
      </x:c>
    </x:row>
    <x:row r="26">
      <x:c r="A26" s="33" t="str">
        <x:v>Q12</x:v>
      </x:c>
      <x:c r="B26" s="34" t="str">
        <x:v>MR</x:v>
      </x:c>
      <x:c r="C26" s="34" t="str">
        <x:v>WEIGHT_CYCLES</x:v>
      </x:c>
      <x:c r="D26" s="34" t="str">
        <x:v>TWO</x:v>
      </x:c>
      <x:c r="E26" s="34" t="str">
        <x:v>Two</x:v>
      </x:c>
      <x:c r="F26" s="34" t="n">
        <x:v>2</x:v>
      </x:c>
      <x:c r="G26" s="41" t="b">
        <x:v>0</x:v>
      </x:c>
    </x:row>
    <x:row r="27">
      <x:c r="A27" s="33" t="str">
        <x:v>Q12</x:v>
      </x:c>
      <x:c r="B27" s="34" t="str">
        <x:v>MR</x:v>
      </x:c>
      <x:c r="C27" s="34" t="str">
        <x:v>WEIGHT_CYCLES</x:v>
      </x:c>
      <x:c r="D27" s="34" t="str">
        <x:v>THREE_FOUR</x:v>
      </x:c>
      <x:c r="E27" s="34" t="str">
        <x:v>Three or four</x:v>
      </x:c>
      <x:c r="F27" s="34" t="n">
        <x:v>3</x:v>
      </x:c>
      <x:c r="G27" s="41" t="b">
        <x:v>0</x:v>
      </x:c>
    </x:row>
    <x:row r="28">
      <x:c r="A28" s="33" t="str">
        <x:v>Q12</x:v>
      </x:c>
      <x:c r="B28" s="34" t="str">
        <x:v>MR</x:v>
      </x:c>
      <x:c r="C28" s="34" t="str">
        <x:v>WEIGHT_CYCLES</x:v>
      </x:c>
      <x:c r="D28" s="34" t="str">
        <x:v>FIVE_PLUS</x:v>
      </x:c>
      <x:c r="E28" s="34" t="str">
        <x:v>Five or more</x:v>
      </x:c>
      <x:c r="F28" s="34" t="n">
        <x:v>4</x:v>
      </x:c>
      <x:c r="G28" s="41" t="b">
        <x:v>0</x:v>
      </x:c>
    </x:row>
    <x:row r="29">
      <x:c r="A29" s="33" t="str">
        <x:v>Q12</x:v>
      </x:c>
      <x:c r="B29" s="34" t="str">
        <x:v>MR</x:v>
      </x:c>
      <x:c r="C29" s="34" t="str">
        <x:v>WEIGHT_CYCLES</x:v>
      </x:c>
      <x:c r="D29" s="34" t="str">
        <x:v>NA</x:v>
      </x:c>
      <x:c r="E29" s="34" t="str">
        <x:v>Not applicable</x:v>
      </x:c>
      <x:c r="F29" s="34"/>
      <x:c r="G29" s="41" t="b">
        <x:v>1</x:v>
      </x:c>
    </x:row>
    <x:row r="30">
      <x:c r="A30" s="33" t="str">
        <x:v>Q46</x:v>
      </x:c>
      <x:c r="B30" s="34" t="str">
        <x:v>MR</x:v>
      </x:c>
      <x:c r="C30" s="34" t="str">
        <x:v>ACTIVITY_DAYS</x:v>
      </x:c>
      <x:c r="D30" s="34" t="str">
        <x:v>D0</x:v>
      </x:c>
      <x:c r="E30" s="34" t="str">
        <x:v>0 days</x:v>
      </x:c>
      <x:c r="F30" s="34" t="n">
        <x:v>4</x:v>
      </x:c>
      <x:c r="G30" s="41" t="b">
        <x:v>0</x:v>
      </x:c>
    </x:row>
    <x:row r="31">
      <x:c r="A31" s="33" t="str">
        <x:v>Q46</x:v>
      </x:c>
      <x:c r="B31" s="34" t="str">
        <x:v>MR</x:v>
      </x:c>
      <x:c r="C31" s="34" t="str">
        <x:v>ACTIVITY_DAYS</x:v>
      </x:c>
      <x:c r="D31" s="34" t="str">
        <x:v>D1_2</x:v>
      </x:c>
      <x:c r="E31" s="34" t="str">
        <x:v>1-2 days</x:v>
      </x:c>
      <x:c r="F31" s="34" t="n">
        <x:v>3</x:v>
      </x:c>
      <x:c r="G31" s="41" t="b">
        <x:v>0</x:v>
      </x:c>
    </x:row>
    <x:row r="32">
      <x:c r="A32" s="33" t="str">
        <x:v>Q46</x:v>
      </x:c>
      <x:c r="B32" s="34" t="str">
        <x:v>MR</x:v>
      </x:c>
      <x:c r="C32" s="34" t="str">
        <x:v>ACTIVITY_DAYS</x:v>
      </x:c>
      <x:c r="D32" s="34" t="str">
        <x:v>D3_4</x:v>
      </x:c>
      <x:c r="E32" s="34" t="str">
        <x:v>3-4 days</x:v>
      </x:c>
      <x:c r="F32" s="34" t="n">
        <x:v>1</x:v>
      </x:c>
      <x:c r="G32" s="41" t="b">
        <x:v>0</x:v>
      </x:c>
    </x:row>
    <x:row r="33">
      <x:c r="A33" s="33" t="str">
        <x:v>Q46</x:v>
      </x:c>
      <x:c r="B33" s="34" t="str">
        <x:v>MR</x:v>
      </x:c>
      <x:c r="C33" s="34" t="str">
        <x:v>ACTIVITY_DAYS</x:v>
      </x:c>
      <x:c r="D33" s="34" t="str">
        <x:v>D5_7</x:v>
      </x:c>
      <x:c r="E33" s="34" t="str">
        <x:v>5-7 days</x:v>
      </x:c>
      <x:c r="F33" s="34" t="n">
        <x:v>0</x:v>
      </x:c>
      <x:c r="G33" s="41" t="b">
        <x:v>0</x:v>
      </x:c>
    </x:row>
    <x:row r="34">
      <x:c r="A34" s="33" t="str">
        <x:v>Q46</x:v>
      </x:c>
      <x:c r="B34" s="34" t="str">
        <x:v>MR</x:v>
      </x:c>
      <x:c r="C34" s="34" t="str">
        <x:v>ACTIVITY_DAYS</x:v>
      </x:c>
      <x:c r="D34" s="34" t="str">
        <x:v>NA</x:v>
      </x:c>
      <x:c r="E34" s="34" t="str">
        <x:v>Not applicable</x:v>
      </x:c>
      <x:c r="F34" s="34"/>
      <x:c r="G34" s="41" t="b">
        <x:v>1</x:v>
      </x:c>
    </x:row>
    <x:row r="35">
      <x:c r="A35" s="33" t="str">
        <x:v>Q47</x:v>
      </x:c>
      <x:c r="B35" s="34" t="str">
        <x:v>MR</x:v>
      </x:c>
      <x:c r="C35" s="34" t="str">
        <x:v>ACTIVITY_DURATION</x:v>
      </x:c>
      <x:c r="D35" s="34" t="str">
        <x:v>LT10</x:v>
      </x:c>
      <x:c r="E35" s="34" t="str">
        <x:v>Less than 10 minutes</x:v>
      </x:c>
      <x:c r="F35" s="34" t="n">
        <x:v>4</x:v>
      </x:c>
      <x:c r="G35" s="41" t="b">
        <x:v>0</x:v>
      </x:c>
    </x:row>
    <x:row r="36">
      <x:c r="A36" s="33" t="str">
        <x:v>Q47</x:v>
      </x:c>
      <x:c r="B36" s="34" t="str">
        <x:v>MR</x:v>
      </x:c>
      <x:c r="C36" s="34" t="str">
        <x:v>ACTIVITY_DURATION</x:v>
      </x:c>
      <x:c r="D36" s="34" t="str">
        <x:v>M10_29</x:v>
      </x:c>
      <x:c r="E36" s="34" t="str">
        <x:v>10-29 minutes</x:v>
      </x:c>
      <x:c r="F36" s="34" t="n">
        <x:v>3</x:v>
      </x:c>
      <x:c r="G36" s="41" t="b">
        <x:v>0</x:v>
      </x:c>
    </x:row>
    <x:row r="37">
      <x:c r="A37" s="33" t="str">
        <x:v>Q47</x:v>
      </x:c>
      <x:c r="B37" s="34" t="str">
        <x:v>MR</x:v>
      </x:c>
      <x:c r="C37" s="34" t="str">
        <x:v>ACTIVITY_DURATION</x:v>
      </x:c>
      <x:c r="D37" s="34" t="str">
        <x:v>M30_59</x:v>
      </x:c>
      <x:c r="E37" s="34" t="str">
        <x:v>30-59 minutes</x:v>
      </x:c>
      <x:c r="F37" s="34" t="n">
        <x:v>1</x:v>
      </x:c>
      <x:c r="G37" s="41" t="b">
        <x:v>0</x:v>
      </x:c>
    </x:row>
    <x:row r="38">
      <x:c r="A38" s="33" t="str">
        <x:v>Q47</x:v>
      </x:c>
      <x:c r="B38" s="34" t="str">
        <x:v>MR</x:v>
      </x:c>
      <x:c r="C38" s="34" t="str">
        <x:v>ACTIVITY_DURATION</x:v>
      </x:c>
      <x:c r="D38" s="34" t="str">
        <x:v>M60_PLUS</x:v>
      </x:c>
      <x:c r="E38" s="34" t="str">
        <x:v>60 minutes or more</x:v>
      </x:c>
      <x:c r="F38" s="34" t="n">
        <x:v>0</x:v>
      </x:c>
      <x:c r="G38" s="41" t="b">
        <x:v>0</x:v>
      </x:c>
    </x:row>
    <x:row r="39">
      <x:c r="A39" s="33" t="str">
        <x:v>Q47</x:v>
      </x:c>
      <x:c r="B39" s="34" t="str">
        <x:v>MR</x:v>
      </x:c>
      <x:c r="C39" s="34" t="str">
        <x:v>ACTIVITY_DURATION</x:v>
      </x:c>
      <x:c r="D39" s="34" t="str">
        <x:v>NA</x:v>
      </x:c>
      <x:c r="E39" s="34" t="str">
        <x:v>Not applicable</x:v>
      </x:c>
      <x:c r="F39" s="34"/>
      <x:c r="G39" s="41" t="b">
        <x:v>1</x:v>
      </x:c>
    </x:row>
    <x:row r="40">
      <x:c r="A40" s="33" t="str">
        <x:v>Q48</x:v>
      </x:c>
      <x:c r="B40" s="34" t="str">
        <x:v>MR</x:v>
      </x:c>
      <x:c r="C40" s="34" t="str">
        <x:v>ACTIVITY_TYPE</x:v>
      </x:c>
      <x:c r="D40" s="34" t="str">
        <x:v>NONE</x:v>
      </x:c>
      <x:c r="E40" s="34" t="str">
        <x:v>No intentional activity</x:v>
      </x:c>
      <x:c r="F40" s="34" t="n">
        <x:v>4</x:v>
      </x:c>
      <x:c r="G40" s="41" t="b">
        <x:v>0</x:v>
      </x:c>
    </x:row>
    <x:row r="41">
      <x:c r="A41" s="33" t="str">
        <x:v>Q48</x:v>
      </x:c>
      <x:c r="B41" s="34" t="str">
        <x:v>MR</x:v>
      </x:c>
      <x:c r="C41" s="34" t="str">
        <x:v>ACTIVITY_TYPE</x:v>
      </x:c>
      <x:c r="D41" s="34" t="str">
        <x:v>LIGHT</x:v>
      </x:c>
      <x:c r="E41" s="34" t="str">
        <x:v>Light movement or daily activities</x:v>
      </x:c>
      <x:c r="F41" s="34" t="n">
        <x:v>3</x:v>
      </x:c>
      <x:c r="G41" s="41" t="b">
        <x:v>0</x:v>
      </x:c>
    </x:row>
    <x:row r="42">
      <x:c r="A42" s="33" t="str">
        <x:v>Q48</x:v>
      </x:c>
      <x:c r="B42" s="34" t="str">
        <x:v>MR</x:v>
      </x:c>
      <x:c r="C42" s="34" t="str">
        <x:v>ACTIVITY_TYPE</x:v>
      </x:c>
      <x:c r="D42" s="34" t="str">
        <x:v>AEROBIC</x:v>
      </x:c>
      <x:c r="E42" s="34" t="str">
        <x:v>Mostly aerobic activity</x:v>
      </x:c>
      <x:c r="F42" s="34" t="n">
        <x:v>2</x:v>
      </x:c>
      <x:c r="G42" s="41" t="b">
        <x:v>0</x:v>
      </x:c>
    </x:row>
    <x:row r="43">
      <x:c r="A43" s="33" t="str">
        <x:v>Q48</x:v>
      </x:c>
      <x:c r="B43" s="34" t="str">
        <x:v>MR</x:v>
      </x:c>
      <x:c r="C43" s="34" t="str">
        <x:v>ACTIVITY_TYPE</x:v>
      </x:c>
      <x:c r="D43" s="34" t="str">
        <x:v>RESISTANCE</x:v>
      </x:c>
      <x:c r="E43" s="34" t="str">
        <x:v>Mostly resistance training</x:v>
      </x:c>
      <x:c r="F43" s="34" t="n">
        <x:v>1</x:v>
      </x:c>
      <x:c r="G43" s="41" t="b">
        <x:v>0</x:v>
      </x:c>
    </x:row>
    <x:row r="44">
      <x:c r="A44" s="33" t="str">
        <x:v>Q48</x:v>
      </x:c>
      <x:c r="B44" s="34" t="str">
        <x:v>MR</x:v>
      </x:c>
      <x:c r="C44" s="34" t="str">
        <x:v>ACTIVITY_TYPE</x:v>
      </x:c>
      <x:c r="D44" s="34" t="str">
        <x:v>MIXED</x:v>
      </x:c>
      <x:c r="E44" s="34" t="str">
        <x:v>A mix of aerobic and resistance activity</x:v>
      </x:c>
      <x:c r="F44" s="34" t="n">
        <x:v>0</x:v>
      </x:c>
      <x:c r="G44" s="41" t="b">
        <x:v>0</x:v>
      </x:c>
    </x:row>
    <x:row r="45">
      <x:c r="A45" s="33" t="str">
        <x:v>Q48</x:v>
      </x:c>
      <x:c r="B45" s="34" t="str">
        <x:v>MR</x:v>
      </x:c>
      <x:c r="C45" s="34" t="str">
        <x:v>ACTIVITY_TYPE</x:v>
      </x:c>
      <x:c r="D45" s="34" t="str">
        <x:v>NA</x:v>
      </x:c>
      <x:c r="E45" s="34" t="str">
        <x:v>Not applicable</x:v>
      </x:c>
      <x:c r="F45" s="34"/>
      <x:c r="G45" s="41" t="b">
        <x:v>1</x:v>
      </x:c>
    </x:row>
    <x:row r="46">
      <x:c r="A46" s="33" t="str">
        <x:v>Q16</x:v>
      </x:c>
      <x:c r="B46" s="34" t="str">
        <x:v>SR</x:v>
      </x:c>
      <x:c r="C46" s="34" t="str">
        <x:v>SLEEP_HOURS</x:v>
      </x:c>
      <x:c r="D46" s="34" t="str">
        <x:v>LT5</x:v>
      </x:c>
      <x:c r="E46" s="34" t="str">
        <x:v>Less than 5 hours</x:v>
      </x:c>
      <x:c r="F46" s="34" t="n">
        <x:v>4</x:v>
      </x:c>
      <x:c r="G46" s="41" t="b">
        <x:v>0</x:v>
      </x:c>
    </x:row>
    <x:row r="47">
      <x:c r="A47" s="33" t="str">
        <x:v>Q16</x:v>
      </x:c>
      <x:c r="B47" s="34" t="str">
        <x:v>SR</x:v>
      </x:c>
      <x:c r="C47" s="34" t="str">
        <x:v>SLEEP_HOURS</x:v>
      </x:c>
      <x:c r="D47" s="34" t="str">
        <x:v>H5_6</x:v>
      </x:c>
      <x:c r="E47" s="34" t="str">
        <x:v>5 to less than 6 hours</x:v>
      </x:c>
      <x:c r="F47" s="34" t="n">
        <x:v>3</x:v>
      </x:c>
      <x:c r="G47" s="41" t="b">
        <x:v>0</x:v>
      </x:c>
    </x:row>
    <x:row r="48">
      <x:c r="A48" s="33" t="str">
        <x:v>Q16</x:v>
      </x:c>
      <x:c r="B48" s="34" t="str">
        <x:v>SR</x:v>
      </x:c>
      <x:c r="C48" s="34" t="str">
        <x:v>SLEEP_HOURS</x:v>
      </x:c>
      <x:c r="D48" s="34" t="str">
        <x:v>H6_7</x:v>
      </x:c>
      <x:c r="E48" s="34" t="str">
        <x:v>6 to less than 7 hours</x:v>
      </x:c>
      <x:c r="F48" s="34" t="n">
        <x:v>1</x:v>
      </x:c>
      <x:c r="G48" s="41" t="b">
        <x:v>0</x:v>
      </x:c>
    </x:row>
    <x:row r="49">
      <x:c r="A49" s="33" t="str">
        <x:v>Q16</x:v>
      </x:c>
      <x:c r="B49" s="34" t="str">
        <x:v>SR</x:v>
      </x:c>
      <x:c r="C49" s="34" t="str">
        <x:v>SLEEP_HOURS</x:v>
      </x:c>
      <x:c r="D49" s="34" t="str">
        <x:v>H7_9</x:v>
      </x:c>
      <x:c r="E49" s="34" t="str">
        <x:v>7 to 9 hours</x:v>
      </x:c>
      <x:c r="F49" s="34" t="n">
        <x:v>0</x:v>
      </x:c>
      <x:c r="G49" s="41" t="b">
        <x:v>0</x:v>
      </x:c>
    </x:row>
    <x:row r="50">
      <x:c r="A50" s="33" t="str">
        <x:v>Q16</x:v>
      </x:c>
      <x:c r="B50" s="34" t="str">
        <x:v>SR</x:v>
      </x:c>
      <x:c r="C50" s="34" t="str">
        <x:v>SLEEP_HOURS</x:v>
      </x:c>
      <x:c r="D50" s="34" t="str">
        <x:v>GT9</x:v>
      </x:c>
      <x:c r="E50" s="34" t="str">
        <x:v>More than 9 hours</x:v>
      </x:c>
      <x:c r="F50" s="34" t="n">
        <x:v>2</x:v>
      </x:c>
      <x:c r="G50" s="41" t="b">
        <x:v>0</x:v>
      </x:c>
    </x:row>
    <x:row r="51">
      <x:c r="A51" s="33" t="str">
        <x:v>Q16</x:v>
      </x:c>
      <x:c r="B51" s="34" t="str">
        <x:v>SR</x:v>
      </x:c>
      <x:c r="C51" s="34" t="str">
        <x:v>SLEEP_HOURS</x:v>
      </x:c>
      <x:c r="D51" s="34" t="str">
        <x:v>NA</x:v>
      </x:c>
      <x:c r="E51" s="34" t="str">
        <x:v>Not applicable</x:v>
      </x:c>
      <x:c r="F51" s="34"/>
      <x:c r="G51" s="41" t="b">
        <x:v>1</x:v>
      </x:c>
    </x:row>
    <x:row r="52">
      <x:c r="A52" s="33" t="str">
        <x:v>Q17</x:v>
      </x:c>
      <x:c r="B52" s="34" t="str">
        <x:v>SR</x:v>
      </x:c>
      <x:c r="C52" s="34" t="str">
        <x:v>FREQ</x:v>
      </x:c>
      <x:c r="D52" s="34" t="str">
        <x:v>NVR</x:v>
      </x:c>
      <x:c r="E52" s="34" t="str">
        <x:v>Never</x:v>
      </x:c>
      <x:c r="F52" s="34" t="n">
        <x:v>0</x:v>
      </x:c>
      <x:c r="G52" s="41" t="b">
        <x:v>0</x:v>
      </x:c>
    </x:row>
    <x:row r="53">
      <x:c r="A53" s="33" t="str">
        <x:v>Q17</x:v>
      </x:c>
      <x:c r="B53" s="34" t="str">
        <x:v>SR</x:v>
      </x:c>
      <x:c r="C53" s="34" t="str">
        <x:v>FREQ</x:v>
      </x:c>
      <x:c r="D53" s="34" t="str">
        <x:v>RLY</x:v>
      </x:c>
      <x:c r="E53" s="34" t="str">
        <x:v>Rarely</x:v>
      </x:c>
      <x:c r="F53" s="34" t="n">
        <x:v>1</x:v>
      </x:c>
      <x:c r="G53" s="41" t="b">
        <x:v>0</x:v>
      </x:c>
    </x:row>
    <x:row r="54">
      <x:c r="A54" s="33" t="str">
        <x:v>Q17</x:v>
      </x:c>
      <x:c r="B54" s="34" t="str">
        <x:v>SR</x:v>
      </x:c>
      <x:c r="C54" s="34" t="str">
        <x:v>FREQ</x:v>
      </x:c>
      <x:c r="D54" s="34" t="str">
        <x:v>SMT</x:v>
      </x:c>
      <x:c r="E54" s="34" t="str">
        <x:v>Sometimes</x:v>
      </x:c>
      <x:c r="F54" s="34" t="n">
        <x:v>2</x:v>
      </x:c>
      <x:c r="G54" s="41" t="b">
        <x:v>0</x:v>
      </x:c>
    </x:row>
    <x:row r="55">
      <x:c r="A55" s="33" t="str">
        <x:v>Q17</x:v>
      </x:c>
      <x:c r="B55" s="34" t="str">
        <x:v>SR</x:v>
      </x:c>
      <x:c r="C55" s="34" t="str">
        <x:v>FREQ</x:v>
      </x:c>
      <x:c r="D55" s="34" t="str">
        <x:v>OFT</x:v>
      </x:c>
      <x:c r="E55" s="34" t="str">
        <x:v>Often</x:v>
      </x:c>
      <x:c r="F55" s="34" t="n">
        <x:v>3</x:v>
      </x:c>
      <x:c r="G55" s="41" t="b">
        <x:v>0</x:v>
      </x:c>
    </x:row>
    <x:row r="56">
      <x:c r="A56" s="33" t="str">
        <x:v>Q17</x:v>
      </x:c>
      <x:c r="B56" s="34" t="str">
        <x:v>SR</x:v>
      </x:c>
      <x:c r="C56" s="34" t="str">
        <x:v>FREQ</x:v>
      </x:c>
      <x:c r="D56" s="34" t="str">
        <x:v>ALW</x:v>
      </x:c>
      <x:c r="E56" s="34" t="str">
        <x:v>Almost always</x:v>
      </x:c>
      <x:c r="F56" s="34" t="n">
        <x:v>4</x:v>
      </x:c>
      <x:c r="G56" s="41" t="b">
        <x:v>0</x:v>
      </x:c>
    </x:row>
    <x:row r="57">
      <x:c r="A57" s="33" t="str">
        <x:v>Q17</x:v>
      </x:c>
      <x:c r="B57" s="34" t="str">
        <x:v>SR</x:v>
      </x:c>
      <x:c r="C57" s="34" t="str">
        <x:v>FREQ</x:v>
      </x:c>
      <x:c r="D57" s="34" t="str">
        <x:v>NA</x:v>
      </x:c>
      <x:c r="E57" s="34" t="str">
        <x:v>Not applicable</x:v>
      </x:c>
      <x:c r="F57" s="34"/>
      <x:c r="G57" s="41" t="b">
        <x:v>1</x:v>
      </x:c>
    </x:row>
    <x:row r="58">
      <x:c r="A58" s="33" t="str">
        <x:v>Q18</x:v>
      </x:c>
      <x:c r="B58" s="34" t="str">
        <x:v>SR</x:v>
      </x:c>
      <x:c r="C58" s="34" t="str">
        <x:v>FREQ</x:v>
      </x:c>
      <x:c r="D58" s="34" t="str">
        <x:v>NVR</x:v>
      </x:c>
      <x:c r="E58" s="34" t="str">
        <x:v>Never</x:v>
      </x:c>
      <x:c r="F58" s="34" t="n">
        <x:v>0</x:v>
      </x:c>
      <x:c r="G58" s="41" t="b">
        <x:v>0</x:v>
      </x:c>
    </x:row>
    <x:row r="59">
      <x:c r="A59" s="33" t="str">
        <x:v>Q18</x:v>
      </x:c>
      <x:c r="B59" s="34" t="str">
        <x:v>SR</x:v>
      </x:c>
      <x:c r="C59" s="34" t="str">
        <x:v>FREQ</x:v>
      </x:c>
      <x:c r="D59" s="34" t="str">
        <x:v>RLY</x:v>
      </x:c>
      <x:c r="E59" s="34" t="str">
        <x:v>Rarely</x:v>
      </x:c>
      <x:c r="F59" s="34" t="n">
        <x:v>1</x:v>
      </x:c>
      <x:c r="G59" s="41" t="b">
        <x:v>0</x:v>
      </x:c>
    </x:row>
    <x:row r="60">
      <x:c r="A60" s="33" t="str">
        <x:v>Q18</x:v>
      </x:c>
      <x:c r="B60" s="34" t="str">
        <x:v>SR</x:v>
      </x:c>
      <x:c r="C60" s="34" t="str">
        <x:v>FREQ</x:v>
      </x:c>
      <x:c r="D60" s="34" t="str">
        <x:v>SMT</x:v>
      </x:c>
      <x:c r="E60" s="34" t="str">
        <x:v>Sometimes</x:v>
      </x:c>
      <x:c r="F60" s="34" t="n">
        <x:v>2</x:v>
      </x:c>
      <x:c r="G60" s="41" t="b">
        <x:v>0</x:v>
      </x:c>
    </x:row>
    <x:row r="61">
      <x:c r="A61" s="33" t="str">
        <x:v>Q18</x:v>
      </x:c>
      <x:c r="B61" s="34" t="str">
        <x:v>SR</x:v>
      </x:c>
      <x:c r="C61" s="34" t="str">
        <x:v>FREQ</x:v>
      </x:c>
      <x:c r="D61" s="34" t="str">
        <x:v>OFT</x:v>
      </x:c>
      <x:c r="E61" s="34" t="str">
        <x:v>Often</x:v>
      </x:c>
      <x:c r="F61" s="34" t="n">
        <x:v>3</x:v>
      </x:c>
      <x:c r="G61" s="41" t="b">
        <x:v>0</x:v>
      </x:c>
    </x:row>
    <x:row r="62">
      <x:c r="A62" s="33" t="str">
        <x:v>Q18</x:v>
      </x:c>
      <x:c r="B62" s="34" t="str">
        <x:v>SR</x:v>
      </x:c>
      <x:c r="C62" s="34" t="str">
        <x:v>FREQ</x:v>
      </x:c>
      <x:c r="D62" s="34" t="str">
        <x:v>ALW</x:v>
      </x:c>
      <x:c r="E62" s="34" t="str">
        <x:v>Almost always</x:v>
      </x:c>
      <x:c r="F62" s="34" t="n">
        <x:v>4</x:v>
      </x:c>
      <x:c r="G62" s="41" t="b">
        <x:v>0</x:v>
      </x:c>
    </x:row>
    <x:row r="63">
      <x:c r="A63" s="33" t="str">
        <x:v>Q18</x:v>
      </x:c>
      <x:c r="B63" s="34" t="str">
        <x:v>SR</x:v>
      </x:c>
      <x:c r="C63" s="34" t="str">
        <x:v>FREQ</x:v>
      </x:c>
      <x:c r="D63" s="34" t="str">
        <x:v>NA</x:v>
      </x:c>
      <x:c r="E63" s="34" t="str">
        <x:v>Not applicable</x:v>
      </x:c>
      <x:c r="F63" s="34"/>
      <x:c r="G63" s="41" t="b">
        <x:v>1</x:v>
      </x:c>
    </x:row>
    <x:row r="64">
      <x:c r="A64" s="33" t="str">
        <x:v>Q19</x:v>
      </x:c>
      <x:c r="B64" s="34" t="str">
        <x:v>SR</x:v>
      </x:c>
      <x:c r="C64" s="34" t="str">
        <x:v>FREQ</x:v>
      </x:c>
      <x:c r="D64" s="34" t="str">
        <x:v>NVR</x:v>
      </x:c>
      <x:c r="E64" s="34" t="str">
        <x:v>Never</x:v>
      </x:c>
      <x:c r="F64" s="34" t="n">
        <x:v>0</x:v>
      </x:c>
      <x:c r="G64" s="41" t="b">
        <x:v>0</x:v>
      </x:c>
    </x:row>
    <x:row r="65">
      <x:c r="A65" s="33" t="str">
        <x:v>Q19</x:v>
      </x:c>
      <x:c r="B65" s="34" t="str">
        <x:v>SR</x:v>
      </x:c>
      <x:c r="C65" s="34" t="str">
        <x:v>FREQ</x:v>
      </x:c>
      <x:c r="D65" s="34" t="str">
        <x:v>RLY</x:v>
      </x:c>
      <x:c r="E65" s="34" t="str">
        <x:v>Rarely</x:v>
      </x:c>
      <x:c r="F65" s="34" t="n">
        <x:v>1</x:v>
      </x:c>
      <x:c r="G65" s="41" t="b">
        <x:v>0</x:v>
      </x:c>
    </x:row>
    <x:row r="66">
      <x:c r="A66" s="33" t="str">
        <x:v>Q19</x:v>
      </x:c>
      <x:c r="B66" s="34" t="str">
        <x:v>SR</x:v>
      </x:c>
      <x:c r="C66" s="34" t="str">
        <x:v>FREQ</x:v>
      </x:c>
      <x:c r="D66" s="34" t="str">
        <x:v>SMT</x:v>
      </x:c>
      <x:c r="E66" s="34" t="str">
        <x:v>Sometimes</x:v>
      </x:c>
      <x:c r="F66" s="34" t="n">
        <x:v>2</x:v>
      </x:c>
      <x:c r="G66" s="41" t="b">
        <x:v>0</x:v>
      </x:c>
    </x:row>
    <x:row r="67">
      <x:c r="A67" s="33" t="str">
        <x:v>Q19</x:v>
      </x:c>
      <x:c r="B67" s="34" t="str">
        <x:v>SR</x:v>
      </x:c>
      <x:c r="C67" s="34" t="str">
        <x:v>FREQ</x:v>
      </x:c>
      <x:c r="D67" s="34" t="str">
        <x:v>OFT</x:v>
      </x:c>
      <x:c r="E67" s="34" t="str">
        <x:v>Often</x:v>
      </x:c>
      <x:c r="F67" s="34" t="n">
        <x:v>3</x:v>
      </x:c>
      <x:c r="G67" s="41" t="b">
        <x:v>0</x:v>
      </x:c>
    </x:row>
    <x:row r="68">
      <x:c r="A68" s="33" t="str">
        <x:v>Q19</x:v>
      </x:c>
      <x:c r="B68" s="34" t="str">
        <x:v>SR</x:v>
      </x:c>
      <x:c r="C68" s="34" t="str">
        <x:v>FREQ</x:v>
      </x:c>
      <x:c r="D68" s="34" t="str">
        <x:v>ALW</x:v>
      </x:c>
      <x:c r="E68" s="34" t="str">
        <x:v>Almost always</x:v>
      </x:c>
      <x:c r="F68" s="34" t="n">
        <x:v>4</x:v>
      </x:c>
      <x:c r="G68" s="41" t="b">
        <x:v>0</x:v>
      </x:c>
    </x:row>
    <x:row r="69">
      <x:c r="A69" s="33" t="str">
        <x:v>Q19</x:v>
      </x:c>
      <x:c r="B69" s="34" t="str">
        <x:v>SR</x:v>
      </x:c>
      <x:c r="C69" s="34" t="str">
        <x:v>FREQ</x:v>
      </x:c>
      <x:c r="D69" s="34" t="str">
        <x:v>NA</x:v>
      </x:c>
      <x:c r="E69" s="34" t="str">
        <x:v>Not applicable</x:v>
      </x:c>
      <x:c r="F69" s="34"/>
      <x:c r="G69" s="41" t="b">
        <x:v>1</x:v>
      </x:c>
    </x:row>
    <x:row r="70">
      <x:c r="A70" s="33" t="str">
        <x:v>Q20</x:v>
      </x:c>
      <x:c r="B70" s="34" t="str">
        <x:v>SR</x:v>
      </x:c>
      <x:c r="C70" s="34" t="str">
        <x:v>FREQ</x:v>
      </x:c>
      <x:c r="D70" s="34" t="str">
        <x:v>NVR</x:v>
      </x:c>
      <x:c r="E70" s="34" t="str">
        <x:v>Never</x:v>
      </x:c>
      <x:c r="F70" s="34" t="n">
        <x:v>0</x:v>
      </x:c>
      <x:c r="G70" s="41" t="b">
        <x:v>0</x:v>
      </x:c>
    </x:row>
    <x:row r="71">
      <x:c r="A71" s="33" t="str">
        <x:v>Q20</x:v>
      </x:c>
      <x:c r="B71" s="34" t="str">
        <x:v>SR</x:v>
      </x:c>
      <x:c r="C71" s="34" t="str">
        <x:v>FREQ</x:v>
      </x:c>
      <x:c r="D71" s="34" t="str">
        <x:v>RLY</x:v>
      </x:c>
      <x:c r="E71" s="34" t="str">
        <x:v>Rarely</x:v>
      </x:c>
      <x:c r="F71" s="34" t="n">
        <x:v>1</x:v>
      </x:c>
      <x:c r="G71" s="41" t="b">
        <x:v>0</x:v>
      </x:c>
    </x:row>
    <x:row r="72">
      <x:c r="A72" s="33" t="str">
        <x:v>Q20</x:v>
      </x:c>
      <x:c r="B72" s="34" t="str">
        <x:v>SR</x:v>
      </x:c>
      <x:c r="C72" s="34" t="str">
        <x:v>FREQ</x:v>
      </x:c>
      <x:c r="D72" s="34" t="str">
        <x:v>SMT</x:v>
      </x:c>
      <x:c r="E72" s="34" t="str">
        <x:v>Sometimes</x:v>
      </x:c>
      <x:c r="F72" s="34" t="n">
        <x:v>2</x:v>
      </x:c>
      <x:c r="G72" s="41" t="b">
        <x:v>0</x:v>
      </x:c>
    </x:row>
    <x:row r="73">
      <x:c r="A73" s="33" t="str">
        <x:v>Q20</x:v>
      </x:c>
      <x:c r="B73" s="34" t="str">
        <x:v>SR</x:v>
      </x:c>
      <x:c r="C73" s="34" t="str">
        <x:v>FREQ</x:v>
      </x:c>
      <x:c r="D73" s="34" t="str">
        <x:v>OFT</x:v>
      </x:c>
      <x:c r="E73" s="34" t="str">
        <x:v>Often</x:v>
      </x:c>
      <x:c r="F73" s="34" t="n">
        <x:v>3</x:v>
      </x:c>
      <x:c r="G73" s="41" t="b">
        <x:v>0</x:v>
      </x:c>
    </x:row>
    <x:row r="74">
      <x:c r="A74" s="33" t="str">
        <x:v>Q20</x:v>
      </x:c>
      <x:c r="B74" s="34" t="str">
        <x:v>SR</x:v>
      </x:c>
      <x:c r="C74" s="34" t="str">
        <x:v>FREQ</x:v>
      </x:c>
      <x:c r="D74" s="34" t="str">
        <x:v>ALW</x:v>
      </x:c>
      <x:c r="E74" s="34" t="str">
        <x:v>Almost always</x:v>
      </x:c>
      <x:c r="F74" s="34" t="n">
        <x:v>4</x:v>
      </x:c>
      <x:c r="G74" s="41" t="b">
        <x:v>0</x:v>
      </x:c>
    </x:row>
    <x:row r="75">
      <x:c r="A75" s="33" t="str">
        <x:v>Q20</x:v>
      </x:c>
      <x:c r="B75" s="34" t="str">
        <x:v>SR</x:v>
      </x:c>
      <x:c r="C75" s="34" t="str">
        <x:v>FREQ</x:v>
      </x:c>
      <x:c r="D75" s="34" t="str">
        <x:v>NA</x:v>
      </x:c>
      <x:c r="E75" s="34" t="str">
        <x:v>Not applicable</x:v>
      </x:c>
      <x:c r="F75" s="34"/>
      <x:c r="G75" s="41" t="b">
        <x:v>1</x:v>
      </x:c>
    </x:row>
    <x:row r="76">
      <x:c r="A76" s="33" t="str">
        <x:v>Q21</x:v>
      </x:c>
      <x:c r="B76" s="34" t="str">
        <x:v>SR</x:v>
      </x:c>
      <x:c r="C76" s="34" t="str">
        <x:v>FREQ</x:v>
      </x:c>
      <x:c r="D76" s="34" t="str">
        <x:v>NVR</x:v>
      </x:c>
      <x:c r="E76" s="34" t="str">
        <x:v>Never</x:v>
      </x:c>
      <x:c r="F76" s="34" t="n">
        <x:v>0</x:v>
      </x:c>
      <x:c r="G76" s="41" t="b">
        <x:v>0</x:v>
      </x:c>
    </x:row>
    <x:row r="77">
      <x:c r="A77" s="33" t="str">
        <x:v>Q21</x:v>
      </x:c>
      <x:c r="B77" s="34" t="str">
        <x:v>SR</x:v>
      </x:c>
      <x:c r="C77" s="34" t="str">
        <x:v>FREQ</x:v>
      </x:c>
      <x:c r="D77" s="34" t="str">
        <x:v>RLY</x:v>
      </x:c>
      <x:c r="E77" s="34" t="str">
        <x:v>Rarely</x:v>
      </x:c>
      <x:c r="F77" s="34" t="n">
        <x:v>1</x:v>
      </x:c>
      <x:c r="G77" s="41" t="b">
        <x:v>0</x:v>
      </x:c>
    </x:row>
    <x:row r="78">
      <x:c r="A78" s="33" t="str">
        <x:v>Q21</x:v>
      </x:c>
      <x:c r="B78" s="34" t="str">
        <x:v>SR</x:v>
      </x:c>
      <x:c r="C78" s="34" t="str">
        <x:v>FREQ</x:v>
      </x:c>
      <x:c r="D78" s="34" t="str">
        <x:v>SMT</x:v>
      </x:c>
      <x:c r="E78" s="34" t="str">
        <x:v>Sometimes</x:v>
      </x:c>
      <x:c r="F78" s="34" t="n">
        <x:v>2</x:v>
      </x:c>
      <x:c r="G78" s="41" t="b">
        <x:v>0</x:v>
      </x:c>
    </x:row>
    <x:row r="79">
      <x:c r="A79" s="33" t="str">
        <x:v>Q21</x:v>
      </x:c>
      <x:c r="B79" s="34" t="str">
        <x:v>SR</x:v>
      </x:c>
      <x:c r="C79" s="34" t="str">
        <x:v>FREQ</x:v>
      </x:c>
      <x:c r="D79" s="34" t="str">
        <x:v>OFT</x:v>
      </x:c>
      <x:c r="E79" s="34" t="str">
        <x:v>Often</x:v>
      </x:c>
      <x:c r="F79" s="34" t="n">
        <x:v>3</x:v>
      </x:c>
      <x:c r="G79" s="41" t="b">
        <x:v>0</x:v>
      </x:c>
    </x:row>
    <x:row r="80">
      <x:c r="A80" s="33" t="str">
        <x:v>Q21</x:v>
      </x:c>
      <x:c r="B80" s="34" t="str">
        <x:v>SR</x:v>
      </x:c>
      <x:c r="C80" s="34" t="str">
        <x:v>FREQ</x:v>
      </x:c>
      <x:c r="D80" s="34" t="str">
        <x:v>ALW</x:v>
      </x:c>
      <x:c r="E80" s="34" t="str">
        <x:v>Almost always</x:v>
      </x:c>
      <x:c r="F80" s="34" t="n">
        <x:v>4</x:v>
      </x:c>
      <x:c r="G80" s="41" t="b">
        <x:v>0</x:v>
      </x:c>
    </x:row>
    <x:row r="81">
      <x:c r="A81" s="33" t="str">
        <x:v>Q21</x:v>
      </x:c>
      <x:c r="B81" s="34" t="str">
        <x:v>SR</x:v>
      </x:c>
      <x:c r="C81" s="34" t="str">
        <x:v>FREQ</x:v>
      </x:c>
      <x:c r="D81" s="34" t="str">
        <x:v>NA</x:v>
      </x:c>
      <x:c r="E81" s="34" t="str">
        <x:v>Not applicable</x:v>
      </x:c>
      <x:c r="F81" s="34"/>
      <x:c r="G81" s="41" t="b">
        <x:v>1</x:v>
      </x:c>
    </x:row>
    <x:row r="82">
      <x:c r="A82" s="33" t="str">
        <x:v>Q22</x:v>
      </x:c>
      <x:c r="B82" s="34" t="str">
        <x:v>SR</x:v>
      </x:c>
      <x:c r="C82" s="34" t="str">
        <x:v>FREQ</x:v>
      </x:c>
      <x:c r="D82" s="34" t="str">
        <x:v>NVR</x:v>
      </x:c>
      <x:c r="E82" s="34" t="str">
        <x:v>Never</x:v>
      </x:c>
      <x:c r="F82" s="34" t="n">
        <x:v>0</x:v>
      </x:c>
      <x:c r="G82" s="41" t="b">
        <x:v>0</x:v>
      </x:c>
    </x:row>
    <x:row r="83">
      <x:c r="A83" s="33" t="str">
        <x:v>Q22</x:v>
      </x:c>
      <x:c r="B83" s="34" t="str">
        <x:v>SR</x:v>
      </x:c>
      <x:c r="C83" s="34" t="str">
        <x:v>FREQ</x:v>
      </x:c>
      <x:c r="D83" s="34" t="str">
        <x:v>RLY</x:v>
      </x:c>
      <x:c r="E83" s="34" t="str">
        <x:v>Rarely</x:v>
      </x:c>
      <x:c r="F83" s="34" t="n">
        <x:v>1</x:v>
      </x:c>
      <x:c r="G83" s="41" t="b">
        <x:v>0</x:v>
      </x:c>
    </x:row>
    <x:row r="84">
      <x:c r="A84" s="33" t="str">
        <x:v>Q22</x:v>
      </x:c>
      <x:c r="B84" s="34" t="str">
        <x:v>SR</x:v>
      </x:c>
      <x:c r="C84" s="34" t="str">
        <x:v>FREQ</x:v>
      </x:c>
      <x:c r="D84" s="34" t="str">
        <x:v>SMT</x:v>
      </x:c>
      <x:c r="E84" s="34" t="str">
        <x:v>Sometimes</x:v>
      </x:c>
      <x:c r="F84" s="34" t="n">
        <x:v>2</x:v>
      </x:c>
      <x:c r="G84" s="41" t="b">
        <x:v>0</x:v>
      </x:c>
    </x:row>
    <x:row r="85">
      <x:c r="A85" s="33" t="str">
        <x:v>Q22</x:v>
      </x:c>
      <x:c r="B85" s="34" t="str">
        <x:v>SR</x:v>
      </x:c>
      <x:c r="C85" s="34" t="str">
        <x:v>FREQ</x:v>
      </x:c>
      <x:c r="D85" s="34" t="str">
        <x:v>OFT</x:v>
      </x:c>
      <x:c r="E85" s="34" t="str">
        <x:v>Often</x:v>
      </x:c>
      <x:c r="F85" s="34" t="n">
        <x:v>3</x:v>
      </x:c>
      <x:c r="G85" s="41" t="b">
        <x:v>0</x:v>
      </x:c>
    </x:row>
    <x:row r="86">
      <x:c r="A86" s="33" t="str">
        <x:v>Q22</x:v>
      </x:c>
      <x:c r="B86" s="34" t="str">
        <x:v>SR</x:v>
      </x:c>
      <x:c r="C86" s="34" t="str">
        <x:v>FREQ</x:v>
      </x:c>
      <x:c r="D86" s="34" t="str">
        <x:v>ALW</x:v>
      </x:c>
      <x:c r="E86" s="34" t="str">
        <x:v>Almost always</x:v>
      </x:c>
      <x:c r="F86" s="34" t="n">
        <x:v>4</x:v>
      </x:c>
      <x:c r="G86" s="41" t="b">
        <x:v>0</x:v>
      </x:c>
    </x:row>
    <x:row r="87">
      <x:c r="A87" s="33" t="str">
        <x:v>Q22</x:v>
      </x:c>
      <x:c r="B87" s="34" t="str">
        <x:v>SR</x:v>
      </x:c>
      <x:c r="C87" s="34" t="str">
        <x:v>FREQ</x:v>
      </x:c>
      <x:c r="D87" s="34" t="str">
        <x:v>NA</x:v>
      </x:c>
      <x:c r="E87" s="34" t="str">
        <x:v>Not applicable</x:v>
      </x:c>
      <x:c r="F87" s="34"/>
      <x:c r="G87" s="41" t="b">
        <x:v>1</x:v>
      </x:c>
    </x:row>
    <x:row r="88">
      <x:c r="A88" s="33" t="str">
        <x:v>Q23</x:v>
      </x:c>
      <x:c r="B88" s="34" t="str">
        <x:v>HS</x:v>
      </x:c>
      <x:c r="C88" s="34" t="str">
        <x:v>FREQ</x:v>
      </x:c>
      <x:c r="D88" s="34" t="str">
        <x:v>NVR</x:v>
      </x:c>
      <x:c r="E88" s="34" t="str">
        <x:v>Never</x:v>
      </x:c>
      <x:c r="F88" s="34" t="n">
        <x:v>0</x:v>
      </x:c>
      <x:c r="G88" s="41" t="b">
        <x:v>0</x:v>
      </x:c>
    </x:row>
    <x:row r="89">
      <x:c r="A89" s="33" t="str">
        <x:v>Q23</x:v>
      </x:c>
      <x:c r="B89" s="34" t="str">
        <x:v>HS</x:v>
      </x:c>
      <x:c r="C89" s="34" t="str">
        <x:v>FREQ</x:v>
      </x:c>
      <x:c r="D89" s="34" t="str">
        <x:v>RLY</x:v>
      </x:c>
      <x:c r="E89" s="34" t="str">
        <x:v>Rarely</x:v>
      </x:c>
      <x:c r="F89" s="34" t="n">
        <x:v>1</x:v>
      </x:c>
      <x:c r="G89" s="41" t="b">
        <x:v>0</x:v>
      </x:c>
    </x:row>
    <x:row r="90">
      <x:c r="A90" s="33" t="str">
        <x:v>Q23</x:v>
      </x:c>
      <x:c r="B90" s="34" t="str">
        <x:v>HS</x:v>
      </x:c>
      <x:c r="C90" s="34" t="str">
        <x:v>FREQ</x:v>
      </x:c>
      <x:c r="D90" s="34" t="str">
        <x:v>SMT</x:v>
      </x:c>
      <x:c r="E90" s="34" t="str">
        <x:v>Sometimes</x:v>
      </x:c>
      <x:c r="F90" s="34" t="n">
        <x:v>2</x:v>
      </x:c>
      <x:c r="G90" s="41" t="b">
        <x:v>0</x:v>
      </x:c>
    </x:row>
    <x:row r="91">
      <x:c r="A91" s="33" t="str">
        <x:v>Q23</x:v>
      </x:c>
      <x:c r="B91" s="34" t="str">
        <x:v>HS</x:v>
      </x:c>
      <x:c r="C91" s="34" t="str">
        <x:v>FREQ</x:v>
      </x:c>
      <x:c r="D91" s="34" t="str">
        <x:v>OFT</x:v>
      </x:c>
      <x:c r="E91" s="34" t="str">
        <x:v>Often</x:v>
      </x:c>
      <x:c r="F91" s="34" t="n">
        <x:v>3</x:v>
      </x:c>
      <x:c r="G91" s="41" t="b">
        <x:v>0</x:v>
      </x:c>
    </x:row>
    <x:row r="92">
      <x:c r="A92" s="33" t="str">
        <x:v>Q23</x:v>
      </x:c>
      <x:c r="B92" s="34" t="str">
        <x:v>HS</x:v>
      </x:c>
      <x:c r="C92" s="34" t="str">
        <x:v>FREQ</x:v>
      </x:c>
      <x:c r="D92" s="34" t="str">
        <x:v>ALW</x:v>
      </x:c>
      <x:c r="E92" s="34" t="str">
        <x:v>Almost always</x:v>
      </x:c>
      <x:c r="F92" s="34" t="n">
        <x:v>4</x:v>
      </x:c>
      <x:c r="G92" s="41" t="b">
        <x:v>0</x:v>
      </x:c>
    </x:row>
    <x:row r="93">
      <x:c r="A93" s="33" t="str">
        <x:v>Q23</x:v>
      </x:c>
      <x:c r="B93" s="34" t="str">
        <x:v>HS</x:v>
      </x:c>
      <x:c r="C93" s="34" t="str">
        <x:v>FREQ</x:v>
      </x:c>
      <x:c r="D93" s="34" t="str">
        <x:v>NA</x:v>
      </x:c>
      <x:c r="E93" s="34" t="str">
        <x:v>Not applicable</x:v>
      </x:c>
      <x:c r="F93" s="34"/>
      <x:c r="G93" s="41" t="b">
        <x:v>1</x:v>
      </x:c>
    </x:row>
    <x:row r="94">
      <x:c r="A94" s="33" t="str">
        <x:v>Q24</x:v>
      </x:c>
      <x:c r="B94" s="34" t="str">
        <x:v>HS</x:v>
      </x:c>
      <x:c r="C94" s="34" t="str">
        <x:v>FREQ</x:v>
      </x:c>
      <x:c r="D94" s="34" t="str">
        <x:v>NVR</x:v>
      </x:c>
      <x:c r="E94" s="34" t="str">
        <x:v>Never</x:v>
      </x:c>
      <x:c r="F94" s="34" t="n">
        <x:v>0</x:v>
      </x:c>
      <x:c r="G94" s="41" t="b">
        <x:v>0</x:v>
      </x:c>
    </x:row>
    <x:row r="95">
      <x:c r="A95" s="33" t="str">
        <x:v>Q24</x:v>
      </x:c>
      <x:c r="B95" s="34" t="str">
        <x:v>HS</x:v>
      </x:c>
      <x:c r="C95" s="34" t="str">
        <x:v>FREQ</x:v>
      </x:c>
      <x:c r="D95" s="34" t="str">
        <x:v>RLY</x:v>
      </x:c>
      <x:c r="E95" s="34" t="str">
        <x:v>Rarely</x:v>
      </x:c>
      <x:c r="F95" s="34" t="n">
        <x:v>1</x:v>
      </x:c>
      <x:c r="G95" s="41" t="b">
        <x:v>0</x:v>
      </x:c>
    </x:row>
    <x:row r="96">
      <x:c r="A96" s="33" t="str">
        <x:v>Q24</x:v>
      </x:c>
      <x:c r="B96" s="34" t="str">
        <x:v>HS</x:v>
      </x:c>
      <x:c r="C96" s="34" t="str">
        <x:v>FREQ</x:v>
      </x:c>
      <x:c r="D96" s="34" t="str">
        <x:v>SMT</x:v>
      </x:c>
      <x:c r="E96" s="34" t="str">
        <x:v>Sometimes</x:v>
      </x:c>
      <x:c r="F96" s="34" t="n">
        <x:v>2</x:v>
      </x:c>
      <x:c r="G96" s="41" t="b">
        <x:v>0</x:v>
      </x:c>
    </x:row>
    <x:row r="97">
      <x:c r="A97" s="33" t="str">
        <x:v>Q24</x:v>
      </x:c>
      <x:c r="B97" s="34" t="str">
        <x:v>HS</x:v>
      </x:c>
      <x:c r="C97" s="34" t="str">
        <x:v>FREQ</x:v>
      </x:c>
      <x:c r="D97" s="34" t="str">
        <x:v>OFT</x:v>
      </x:c>
      <x:c r="E97" s="34" t="str">
        <x:v>Often</x:v>
      </x:c>
      <x:c r="F97" s="34" t="n">
        <x:v>3</x:v>
      </x:c>
      <x:c r="G97" s="41" t="b">
        <x:v>0</x:v>
      </x:c>
    </x:row>
    <x:row r="98">
      <x:c r="A98" s="33" t="str">
        <x:v>Q24</x:v>
      </x:c>
      <x:c r="B98" s="34" t="str">
        <x:v>HS</x:v>
      </x:c>
      <x:c r="C98" s="34" t="str">
        <x:v>FREQ</x:v>
      </x:c>
      <x:c r="D98" s="34" t="str">
        <x:v>ALW</x:v>
      </x:c>
      <x:c r="E98" s="34" t="str">
        <x:v>Almost always</x:v>
      </x:c>
      <x:c r="F98" s="34" t="n">
        <x:v>4</x:v>
      </x:c>
      <x:c r="G98" s="41" t="b">
        <x:v>0</x:v>
      </x:c>
    </x:row>
    <x:row r="99">
      <x:c r="A99" s="33" t="str">
        <x:v>Q24</x:v>
      </x:c>
      <x:c r="B99" s="34" t="str">
        <x:v>HS</x:v>
      </x:c>
      <x:c r="C99" s="34" t="str">
        <x:v>FREQ</x:v>
      </x:c>
      <x:c r="D99" s="34" t="str">
        <x:v>NA</x:v>
      </x:c>
      <x:c r="E99" s="34" t="str">
        <x:v>Not applicable</x:v>
      </x:c>
      <x:c r="F99" s="34"/>
      <x:c r="G99" s="41" t="b">
        <x:v>1</x:v>
      </x:c>
    </x:row>
    <x:row r="100">
      <x:c r="A100" s="33" t="str">
        <x:v>Q25</x:v>
      </x:c>
      <x:c r="B100" s="34" t="str">
        <x:v>HS</x:v>
      </x:c>
      <x:c r="C100" s="34" t="str">
        <x:v>FREQ</x:v>
      </x:c>
      <x:c r="D100" s="34" t="str">
        <x:v>NVR</x:v>
      </x:c>
      <x:c r="E100" s="34" t="str">
        <x:v>Never</x:v>
      </x:c>
      <x:c r="F100" s="34" t="n">
        <x:v>0</x:v>
      </x:c>
      <x:c r="G100" s="41" t="b">
        <x:v>0</x:v>
      </x:c>
    </x:row>
    <x:row r="101">
      <x:c r="A101" s="33" t="str">
        <x:v>Q25</x:v>
      </x:c>
      <x:c r="B101" s="34" t="str">
        <x:v>HS</x:v>
      </x:c>
      <x:c r="C101" s="34" t="str">
        <x:v>FREQ</x:v>
      </x:c>
      <x:c r="D101" s="34" t="str">
        <x:v>RLY</x:v>
      </x:c>
      <x:c r="E101" s="34" t="str">
        <x:v>Rarely</x:v>
      </x:c>
      <x:c r="F101" s="34" t="n">
        <x:v>1</x:v>
      </x:c>
      <x:c r="G101" s="41" t="b">
        <x:v>0</x:v>
      </x:c>
    </x:row>
    <x:row r="102">
      <x:c r="A102" s="33" t="str">
        <x:v>Q25</x:v>
      </x:c>
      <x:c r="B102" s="34" t="str">
        <x:v>HS</x:v>
      </x:c>
      <x:c r="C102" s="34" t="str">
        <x:v>FREQ</x:v>
      </x:c>
      <x:c r="D102" s="34" t="str">
        <x:v>SMT</x:v>
      </x:c>
      <x:c r="E102" s="34" t="str">
        <x:v>Sometimes</x:v>
      </x:c>
      <x:c r="F102" s="34" t="n">
        <x:v>2</x:v>
      </x:c>
      <x:c r="G102" s="41" t="b">
        <x:v>0</x:v>
      </x:c>
    </x:row>
    <x:row r="103">
      <x:c r="A103" s="33" t="str">
        <x:v>Q25</x:v>
      </x:c>
      <x:c r="B103" s="34" t="str">
        <x:v>HS</x:v>
      </x:c>
      <x:c r="C103" s="34" t="str">
        <x:v>FREQ</x:v>
      </x:c>
      <x:c r="D103" s="34" t="str">
        <x:v>OFT</x:v>
      </x:c>
      <x:c r="E103" s="34" t="str">
        <x:v>Often</x:v>
      </x:c>
      <x:c r="F103" s="34" t="n">
        <x:v>3</x:v>
      </x:c>
      <x:c r="G103" s="41" t="b">
        <x:v>0</x:v>
      </x:c>
    </x:row>
    <x:row r="104">
      <x:c r="A104" s="33" t="str">
        <x:v>Q25</x:v>
      </x:c>
      <x:c r="B104" s="34" t="str">
        <x:v>HS</x:v>
      </x:c>
      <x:c r="C104" s="34" t="str">
        <x:v>FREQ</x:v>
      </x:c>
      <x:c r="D104" s="34" t="str">
        <x:v>ALW</x:v>
      </x:c>
      <x:c r="E104" s="34" t="str">
        <x:v>Almost always</x:v>
      </x:c>
      <x:c r="F104" s="34" t="n">
        <x:v>4</x:v>
      </x:c>
      <x:c r="G104" s="41" t="b">
        <x:v>0</x:v>
      </x:c>
    </x:row>
    <x:row r="105">
      <x:c r="A105" s="33" t="str">
        <x:v>Q25</x:v>
      </x:c>
      <x:c r="B105" s="34" t="str">
        <x:v>HS</x:v>
      </x:c>
      <x:c r="C105" s="34" t="str">
        <x:v>FREQ</x:v>
      </x:c>
      <x:c r="D105" s="34" t="str">
        <x:v>NA</x:v>
      </x:c>
      <x:c r="E105" s="34" t="str">
        <x:v>Not applicable</x:v>
      </x:c>
      <x:c r="F105" s="34"/>
      <x:c r="G105" s="41" t="b">
        <x:v>1</x:v>
      </x:c>
    </x:row>
    <x:row r="106">
      <x:c r="A106" s="33" t="str">
        <x:v>Q26</x:v>
      </x:c>
      <x:c r="B106" s="34" t="str">
        <x:v>HS</x:v>
      </x:c>
      <x:c r="C106" s="34" t="str">
        <x:v>FREQ</x:v>
      </x:c>
      <x:c r="D106" s="34" t="str">
        <x:v>NVR</x:v>
      </x:c>
      <x:c r="E106" s="34" t="str">
        <x:v>Never</x:v>
      </x:c>
      <x:c r="F106" s="34" t="n">
        <x:v>4</x:v>
      </x:c>
      <x:c r="G106" s="41" t="b">
        <x:v>0</x:v>
      </x:c>
    </x:row>
    <x:row r="107">
      <x:c r="A107" s="33" t="str">
        <x:v>Q26</x:v>
      </x:c>
      <x:c r="B107" s="34" t="str">
        <x:v>HS</x:v>
      </x:c>
      <x:c r="C107" s="34" t="str">
        <x:v>FREQ</x:v>
      </x:c>
      <x:c r="D107" s="34" t="str">
        <x:v>RLY</x:v>
      </x:c>
      <x:c r="E107" s="34" t="str">
        <x:v>Rarely</x:v>
      </x:c>
      <x:c r="F107" s="34" t="n">
        <x:v>3</x:v>
      </x:c>
      <x:c r="G107" s="41" t="b">
        <x:v>0</x:v>
      </x:c>
    </x:row>
    <x:row r="108">
      <x:c r="A108" s="33" t="str">
        <x:v>Q26</x:v>
      </x:c>
      <x:c r="B108" s="34" t="str">
        <x:v>HS</x:v>
      </x:c>
      <x:c r="C108" s="34" t="str">
        <x:v>FREQ</x:v>
      </x:c>
      <x:c r="D108" s="34" t="str">
        <x:v>SMT</x:v>
      </x:c>
      <x:c r="E108" s="34" t="str">
        <x:v>Sometimes</x:v>
      </x:c>
      <x:c r="F108" s="34" t="n">
        <x:v>2</x:v>
      </x:c>
      <x:c r="G108" s="41" t="b">
        <x:v>0</x:v>
      </x:c>
    </x:row>
    <x:row r="109">
      <x:c r="A109" s="33" t="str">
        <x:v>Q26</x:v>
      </x:c>
      <x:c r="B109" s="34" t="str">
        <x:v>HS</x:v>
      </x:c>
      <x:c r="C109" s="34" t="str">
        <x:v>FREQ</x:v>
      </x:c>
      <x:c r="D109" s="34" t="str">
        <x:v>OFT</x:v>
      </x:c>
      <x:c r="E109" s="34" t="str">
        <x:v>Often</x:v>
      </x:c>
      <x:c r="F109" s="34" t="n">
        <x:v>1</x:v>
      </x:c>
      <x:c r="G109" s="41" t="b">
        <x:v>0</x:v>
      </x:c>
    </x:row>
    <x:row r="110">
      <x:c r="A110" s="33" t="str">
        <x:v>Q26</x:v>
      </x:c>
      <x:c r="B110" s="34" t="str">
        <x:v>HS</x:v>
      </x:c>
      <x:c r="C110" s="34" t="str">
        <x:v>FREQ</x:v>
      </x:c>
      <x:c r="D110" s="34" t="str">
        <x:v>ALW</x:v>
      </x:c>
      <x:c r="E110" s="34" t="str">
        <x:v>Almost always</x:v>
      </x:c>
      <x:c r="F110" s="34" t="n">
        <x:v>0</x:v>
      </x:c>
      <x:c r="G110" s="41" t="b">
        <x:v>0</x:v>
      </x:c>
    </x:row>
    <x:row r="111">
      <x:c r="A111" s="33" t="str">
        <x:v>Q26</x:v>
      </x:c>
      <x:c r="B111" s="34" t="str">
        <x:v>HS</x:v>
      </x:c>
      <x:c r="C111" s="34" t="str">
        <x:v>FREQ</x:v>
      </x:c>
      <x:c r="D111" s="34" t="str">
        <x:v>NA</x:v>
      </x:c>
      <x:c r="E111" s="34" t="str">
        <x:v>Not applicable</x:v>
      </x:c>
      <x:c r="F111" s="34"/>
      <x:c r="G111" s="41" t="b">
        <x:v>1</x:v>
      </x:c>
    </x:row>
    <x:row r="112">
      <x:c r="A112" s="33" t="str">
        <x:v>Q27</x:v>
      </x:c>
      <x:c r="B112" s="34" t="str">
        <x:v>HS</x:v>
      </x:c>
      <x:c r="C112" s="34" t="str">
        <x:v>FREQ</x:v>
      </x:c>
      <x:c r="D112" s="34" t="str">
        <x:v>NVR</x:v>
      </x:c>
      <x:c r="E112" s="34" t="str">
        <x:v>Never</x:v>
      </x:c>
      <x:c r="F112" s="34" t="n">
        <x:v>0</x:v>
      </x:c>
      <x:c r="G112" s="41" t="b">
        <x:v>0</x:v>
      </x:c>
    </x:row>
    <x:row r="113">
      <x:c r="A113" s="33" t="str">
        <x:v>Q27</x:v>
      </x:c>
      <x:c r="B113" s="34" t="str">
        <x:v>HS</x:v>
      </x:c>
      <x:c r="C113" s="34" t="str">
        <x:v>FREQ</x:v>
      </x:c>
      <x:c r="D113" s="34" t="str">
        <x:v>RLY</x:v>
      </x:c>
      <x:c r="E113" s="34" t="str">
        <x:v>Rarely</x:v>
      </x:c>
      <x:c r="F113" s="34" t="n">
        <x:v>1</x:v>
      </x:c>
      <x:c r="G113" s="41" t="b">
        <x:v>0</x:v>
      </x:c>
    </x:row>
    <x:row r="114">
      <x:c r="A114" s="33" t="str">
        <x:v>Q27</x:v>
      </x:c>
      <x:c r="B114" s="34" t="str">
        <x:v>HS</x:v>
      </x:c>
      <x:c r="C114" s="34" t="str">
        <x:v>FREQ</x:v>
      </x:c>
      <x:c r="D114" s="34" t="str">
        <x:v>SMT</x:v>
      </x:c>
      <x:c r="E114" s="34" t="str">
        <x:v>Sometimes</x:v>
      </x:c>
      <x:c r="F114" s="34" t="n">
        <x:v>2</x:v>
      </x:c>
      <x:c r="G114" s="41" t="b">
        <x:v>0</x:v>
      </x:c>
    </x:row>
    <x:row r="115">
      <x:c r="A115" s="33" t="str">
        <x:v>Q27</x:v>
      </x:c>
      <x:c r="B115" s="34" t="str">
        <x:v>HS</x:v>
      </x:c>
      <x:c r="C115" s="34" t="str">
        <x:v>FREQ</x:v>
      </x:c>
      <x:c r="D115" s="34" t="str">
        <x:v>OFT</x:v>
      </x:c>
      <x:c r="E115" s="34" t="str">
        <x:v>Often</x:v>
      </x:c>
      <x:c r="F115" s="34" t="n">
        <x:v>3</x:v>
      </x:c>
      <x:c r="G115" s="41" t="b">
        <x:v>0</x:v>
      </x:c>
    </x:row>
    <x:row r="116">
      <x:c r="A116" s="33" t="str">
        <x:v>Q27</x:v>
      </x:c>
      <x:c r="B116" s="34" t="str">
        <x:v>HS</x:v>
      </x:c>
      <x:c r="C116" s="34" t="str">
        <x:v>FREQ</x:v>
      </x:c>
      <x:c r="D116" s="34" t="str">
        <x:v>ALW</x:v>
      </x:c>
      <x:c r="E116" s="34" t="str">
        <x:v>Almost always</x:v>
      </x:c>
      <x:c r="F116" s="34" t="n">
        <x:v>4</x:v>
      </x:c>
      <x:c r="G116" s="41" t="b">
        <x:v>0</x:v>
      </x:c>
    </x:row>
    <x:row r="117">
      <x:c r="A117" s="33" t="str">
        <x:v>Q27</x:v>
      </x:c>
      <x:c r="B117" s="34" t="str">
        <x:v>HS</x:v>
      </x:c>
      <x:c r="C117" s="34" t="str">
        <x:v>FREQ</x:v>
      </x:c>
      <x:c r="D117" s="34" t="str">
        <x:v>NA</x:v>
      </x:c>
      <x:c r="E117" s="34" t="str">
        <x:v>Not applicable</x:v>
      </x:c>
      <x:c r="F117" s="34"/>
      <x:c r="G117" s="41" t="b">
        <x:v>1</x:v>
      </x:c>
    </x:row>
    <x:row r="118">
      <x:c r="A118" s="33" t="str">
        <x:v>Q28</x:v>
      </x:c>
      <x:c r="B118" s="34" t="str">
        <x:v>HS</x:v>
      </x:c>
      <x:c r="C118" s="34" t="str">
        <x:v>FREQ</x:v>
      </x:c>
      <x:c r="D118" s="34" t="str">
        <x:v>NVR</x:v>
      </x:c>
      <x:c r="E118" s="34" t="str">
        <x:v>Never</x:v>
      </x:c>
      <x:c r="F118" s="34" t="n">
        <x:v>4</x:v>
      </x:c>
      <x:c r="G118" s="41" t="b">
        <x:v>0</x:v>
      </x:c>
    </x:row>
    <x:row r="119">
      <x:c r="A119" s="33" t="str">
        <x:v>Q28</x:v>
      </x:c>
      <x:c r="B119" s="34" t="str">
        <x:v>HS</x:v>
      </x:c>
      <x:c r="C119" s="34" t="str">
        <x:v>FREQ</x:v>
      </x:c>
      <x:c r="D119" s="34" t="str">
        <x:v>RLY</x:v>
      </x:c>
      <x:c r="E119" s="34" t="str">
        <x:v>Rarely</x:v>
      </x:c>
      <x:c r="F119" s="34" t="n">
        <x:v>3</x:v>
      </x:c>
      <x:c r="G119" s="41" t="b">
        <x:v>0</x:v>
      </x:c>
    </x:row>
    <x:row r="120">
      <x:c r="A120" s="33" t="str">
        <x:v>Q28</x:v>
      </x:c>
      <x:c r="B120" s="34" t="str">
        <x:v>HS</x:v>
      </x:c>
      <x:c r="C120" s="34" t="str">
        <x:v>FREQ</x:v>
      </x:c>
      <x:c r="D120" s="34" t="str">
        <x:v>SMT</x:v>
      </x:c>
      <x:c r="E120" s="34" t="str">
        <x:v>Sometimes</x:v>
      </x:c>
      <x:c r="F120" s="34" t="n">
        <x:v>2</x:v>
      </x:c>
      <x:c r="G120" s="41" t="b">
        <x:v>0</x:v>
      </x:c>
    </x:row>
    <x:row r="121">
      <x:c r="A121" s="33" t="str">
        <x:v>Q28</x:v>
      </x:c>
      <x:c r="B121" s="34" t="str">
        <x:v>HS</x:v>
      </x:c>
      <x:c r="C121" s="34" t="str">
        <x:v>FREQ</x:v>
      </x:c>
      <x:c r="D121" s="34" t="str">
        <x:v>OFT</x:v>
      </x:c>
      <x:c r="E121" s="34" t="str">
        <x:v>Often</x:v>
      </x:c>
      <x:c r="F121" s="34" t="n">
        <x:v>1</x:v>
      </x:c>
      <x:c r="G121" s="41" t="b">
        <x:v>0</x:v>
      </x:c>
    </x:row>
    <x:row r="122">
      <x:c r="A122" s="33" t="str">
        <x:v>Q28</x:v>
      </x:c>
      <x:c r="B122" s="34" t="str">
        <x:v>HS</x:v>
      </x:c>
      <x:c r="C122" s="34" t="str">
        <x:v>FREQ</x:v>
      </x:c>
      <x:c r="D122" s="34" t="str">
        <x:v>ALW</x:v>
      </x:c>
      <x:c r="E122" s="34" t="str">
        <x:v>Almost always</x:v>
      </x:c>
      <x:c r="F122" s="34" t="n">
        <x:v>0</x:v>
      </x:c>
      <x:c r="G122" s="41" t="b">
        <x:v>0</x:v>
      </x:c>
    </x:row>
    <x:row r="123">
      <x:c r="A123" s="33" t="str">
        <x:v>Q28</x:v>
      </x:c>
      <x:c r="B123" s="34" t="str">
        <x:v>HS</x:v>
      </x:c>
      <x:c r="C123" s="34" t="str">
        <x:v>FREQ</x:v>
      </x:c>
      <x:c r="D123" s="34" t="str">
        <x:v>NA</x:v>
      </x:c>
      <x:c r="E123" s="34" t="str">
        <x:v>Not applicable</x:v>
      </x:c>
      <x:c r="F123" s="34"/>
      <x:c r="G123" s="41" t="b">
        <x:v>1</x:v>
      </x:c>
    </x:row>
    <x:row r="124">
      <x:c r="A124" s="33" t="str">
        <x:v>Q29</x:v>
      </x:c>
      <x:c r="B124" s="34" t="str">
        <x:v>HS</x:v>
      </x:c>
      <x:c r="C124" s="34" t="str">
        <x:v>FREQ</x:v>
      </x:c>
      <x:c r="D124" s="34" t="str">
        <x:v>NVR</x:v>
      </x:c>
      <x:c r="E124" s="34" t="str">
        <x:v>Never</x:v>
      </x:c>
      <x:c r="F124" s="34" t="n">
        <x:v>0</x:v>
      </x:c>
      <x:c r="G124" s="41" t="b">
        <x:v>0</x:v>
      </x:c>
    </x:row>
    <x:row r="125">
      <x:c r="A125" s="33" t="str">
        <x:v>Q29</x:v>
      </x:c>
      <x:c r="B125" s="34" t="str">
        <x:v>HS</x:v>
      </x:c>
      <x:c r="C125" s="34" t="str">
        <x:v>FREQ</x:v>
      </x:c>
      <x:c r="D125" s="34" t="str">
        <x:v>RLY</x:v>
      </x:c>
      <x:c r="E125" s="34" t="str">
        <x:v>Rarely</x:v>
      </x:c>
      <x:c r="F125" s="34" t="n">
        <x:v>1</x:v>
      </x:c>
      <x:c r="G125" s="41" t="b">
        <x:v>0</x:v>
      </x:c>
    </x:row>
    <x:row r="126">
      <x:c r="A126" s="33" t="str">
        <x:v>Q29</x:v>
      </x:c>
      <x:c r="B126" s="34" t="str">
        <x:v>HS</x:v>
      </x:c>
      <x:c r="C126" s="34" t="str">
        <x:v>FREQ</x:v>
      </x:c>
      <x:c r="D126" s="34" t="str">
        <x:v>SMT</x:v>
      </x:c>
      <x:c r="E126" s="34" t="str">
        <x:v>Sometimes</x:v>
      </x:c>
      <x:c r="F126" s="34" t="n">
        <x:v>2</x:v>
      </x:c>
      <x:c r="G126" s="41" t="b">
        <x:v>0</x:v>
      </x:c>
    </x:row>
    <x:row r="127">
      <x:c r="A127" s="33" t="str">
        <x:v>Q29</x:v>
      </x:c>
      <x:c r="B127" s="34" t="str">
        <x:v>HS</x:v>
      </x:c>
      <x:c r="C127" s="34" t="str">
        <x:v>FREQ</x:v>
      </x:c>
      <x:c r="D127" s="34" t="str">
        <x:v>OFT</x:v>
      </x:c>
      <x:c r="E127" s="34" t="str">
        <x:v>Often</x:v>
      </x:c>
      <x:c r="F127" s="34" t="n">
        <x:v>3</x:v>
      </x:c>
      <x:c r="G127" s="41" t="b">
        <x:v>0</x:v>
      </x:c>
    </x:row>
    <x:row r="128">
      <x:c r="A128" s="33" t="str">
        <x:v>Q29</x:v>
      </x:c>
      <x:c r="B128" s="34" t="str">
        <x:v>HS</x:v>
      </x:c>
      <x:c r="C128" s="34" t="str">
        <x:v>FREQ</x:v>
      </x:c>
      <x:c r="D128" s="34" t="str">
        <x:v>ALW</x:v>
      </x:c>
      <x:c r="E128" s="34" t="str">
        <x:v>Almost always</x:v>
      </x:c>
      <x:c r="F128" s="34" t="n">
        <x:v>4</x:v>
      </x:c>
      <x:c r="G128" s="41" t="b">
        <x:v>0</x:v>
      </x:c>
    </x:row>
    <x:row r="129">
      <x:c r="A129" s="33" t="str">
        <x:v>Q29</x:v>
      </x:c>
      <x:c r="B129" s="34" t="str">
        <x:v>HS</x:v>
      </x:c>
      <x:c r="C129" s="34" t="str">
        <x:v>FREQ</x:v>
      </x:c>
      <x:c r="D129" s="34" t="str">
        <x:v>NA</x:v>
      </x:c>
      <x:c r="E129" s="34" t="str">
        <x:v>Not applicable</x:v>
      </x:c>
      <x:c r="F129" s="34"/>
      <x:c r="G129" s="41" t="b">
        <x:v>1</x:v>
      </x:c>
    </x:row>
    <x:row r="130">
      <x:c r="A130" s="33" t="str">
        <x:v>Q30</x:v>
      </x:c>
      <x:c r="B130" s="34" t="str">
        <x:v>HS</x:v>
      </x:c>
      <x:c r="C130" s="34" t="str">
        <x:v>FREQ</x:v>
      </x:c>
      <x:c r="D130" s="34" t="str">
        <x:v>NVR</x:v>
      </x:c>
      <x:c r="E130" s="34" t="str">
        <x:v>Never</x:v>
      </x:c>
      <x:c r="F130" s="34" t="n">
        <x:v>0</x:v>
      </x:c>
      <x:c r="G130" s="41" t="b">
        <x:v>0</x:v>
      </x:c>
    </x:row>
    <x:row r="131">
      <x:c r="A131" s="33" t="str">
        <x:v>Q30</x:v>
      </x:c>
      <x:c r="B131" s="34" t="str">
        <x:v>HS</x:v>
      </x:c>
      <x:c r="C131" s="34" t="str">
        <x:v>FREQ</x:v>
      </x:c>
      <x:c r="D131" s="34" t="str">
        <x:v>RLY</x:v>
      </x:c>
      <x:c r="E131" s="34" t="str">
        <x:v>Rarely</x:v>
      </x:c>
      <x:c r="F131" s="34" t="n">
        <x:v>1</x:v>
      </x:c>
      <x:c r="G131" s="41" t="b">
        <x:v>0</x:v>
      </x:c>
    </x:row>
    <x:row r="132">
      <x:c r="A132" s="33" t="str">
        <x:v>Q30</x:v>
      </x:c>
      <x:c r="B132" s="34" t="str">
        <x:v>HS</x:v>
      </x:c>
      <x:c r="C132" s="34" t="str">
        <x:v>FREQ</x:v>
      </x:c>
      <x:c r="D132" s="34" t="str">
        <x:v>SMT</x:v>
      </x:c>
      <x:c r="E132" s="34" t="str">
        <x:v>Sometimes</x:v>
      </x:c>
      <x:c r="F132" s="34" t="n">
        <x:v>2</x:v>
      </x:c>
      <x:c r="G132" s="41" t="b">
        <x:v>0</x:v>
      </x:c>
    </x:row>
    <x:row r="133">
      <x:c r="A133" s="33" t="str">
        <x:v>Q30</x:v>
      </x:c>
      <x:c r="B133" s="34" t="str">
        <x:v>HS</x:v>
      </x:c>
      <x:c r="C133" s="34" t="str">
        <x:v>FREQ</x:v>
      </x:c>
      <x:c r="D133" s="34" t="str">
        <x:v>OFT</x:v>
      </x:c>
      <x:c r="E133" s="34" t="str">
        <x:v>Often</x:v>
      </x:c>
      <x:c r="F133" s="34" t="n">
        <x:v>3</x:v>
      </x:c>
      <x:c r="G133" s="41" t="b">
        <x:v>0</x:v>
      </x:c>
    </x:row>
    <x:row r="134">
      <x:c r="A134" s="33" t="str">
        <x:v>Q30</x:v>
      </x:c>
      <x:c r="B134" s="34" t="str">
        <x:v>HS</x:v>
      </x:c>
      <x:c r="C134" s="34" t="str">
        <x:v>FREQ</x:v>
      </x:c>
      <x:c r="D134" s="34" t="str">
        <x:v>ALW</x:v>
      </x:c>
      <x:c r="E134" s="34" t="str">
        <x:v>Almost always</x:v>
      </x:c>
      <x:c r="F134" s="34" t="n">
        <x:v>4</x:v>
      </x:c>
      <x:c r="G134" s="41" t="b">
        <x:v>0</x:v>
      </x:c>
    </x:row>
    <x:row r="135">
      <x:c r="A135" s="33" t="str">
        <x:v>Q30</x:v>
      </x:c>
      <x:c r="B135" s="34" t="str">
        <x:v>HS</x:v>
      </x:c>
      <x:c r="C135" s="34" t="str">
        <x:v>FREQ</x:v>
      </x:c>
      <x:c r="D135" s="34" t="str">
        <x:v>NA</x:v>
      </x:c>
      <x:c r="E135" s="34" t="str">
        <x:v>Not applicable</x:v>
      </x:c>
      <x:c r="F135" s="34"/>
      <x:c r="G135" s="41" t="b">
        <x:v>1</x:v>
      </x:c>
    </x:row>
    <x:row r="136">
      <x:c r="A136" s="33" t="str">
        <x:v>Q31</x:v>
      </x:c>
      <x:c r="B136" s="34" t="str">
        <x:v>SL</x:v>
      </x:c>
      <x:c r="C136" s="34" t="str">
        <x:v>FREQ</x:v>
      </x:c>
      <x:c r="D136" s="34" t="str">
        <x:v>NVR</x:v>
      </x:c>
      <x:c r="E136" s="34" t="str">
        <x:v>Never</x:v>
      </x:c>
      <x:c r="F136" s="34" t="n">
        <x:v>0</x:v>
      </x:c>
      <x:c r="G136" s="41" t="b">
        <x:v>0</x:v>
      </x:c>
    </x:row>
    <x:row r="137">
      <x:c r="A137" s="33" t="str">
        <x:v>Q31</x:v>
      </x:c>
      <x:c r="B137" s="34" t="str">
        <x:v>SL</x:v>
      </x:c>
      <x:c r="C137" s="34" t="str">
        <x:v>FREQ</x:v>
      </x:c>
      <x:c r="D137" s="34" t="str">
        <x:v>RLY</x:v>
      </x:c>
      <x:c r="E137" s="34" t="str">
        <x:v>Rarely</x:v>
      </x:c>
      <x:c r="F137" s="34" t="n">
        <x:v>1</x:v>
      </x:c>
      <x:c r="G137" s="41" t="b">
        <x:v>0</x:v>
      </x:c>
    </x:row>
    <x:row r="138">
      <x:c r="A138" s="33" t="str">
        <x:v>Q31</x:v>
      </x:c>
      <x:c r="B138" s="34" t="str">
        <x:v>SL</x:v>
      </x:c>
      <x:c r="C138" s="34" t="str">
        <x:v>FREQ</x:v>
      </x:c>
      <x:c r="D138" s="34" t="str">
        <x:v>SMT</x:v>
      </x:c>
      <x:c r="E138" s="34" t="str">
        <x:v>Sometimes</x:v>
      </x:c>
      <x:c r="F138" s="34" t="n">
        <x:v>2</x:v>
      </x:c>
      <x:c r="G138" s="41" t="b">
        <x:v>0</x:v>
      </x:c>
    </x:row>
    <x:row r="139">
      <x:c r="A139" s="33" t="str">
        <x:v>Q31</x:v>
      </x:c>
      <x:c r="B139" s="34" t="str">
        <x:v>SL</x:v>
      </x:c>
      <x:c r="C139" s="34" t="str">
        <x:v>FREQ</x:v>
      </x:c>
      <x:c r="D139" s="34" t="str">
        <x:v>OFT</x:v>
      </x:c>
      <x:c r="E139" s="34" t="str">
        <x:v>Often</x:v>
      </x:c>
      <x:c r="F139" s="34" t="n">
        <x:v>3</x:v>
      </x:c>
      <x:c r="G139" s="41" t="b">
        <x:v>0</x:v>
      </x:c>
    </x:row>
    <x:row r="140">
      <x:c r="A140" s="33" t="str">
        <x:v>Q31</x:v>
      </x:c>
      <x:c r="B140" s="34" t="str">
        <x:v>SL</x:v>
      </x:c>
      <x:c r="C140" s="34" t="str">
        <x:v>FREQ</x:v>
      </x:c>
      <x:c r="D140" s="34" t="str">
        <x:v>ALW</x:v>
      </x:c>
      <x:c r="E140" s="34" t="str">
        <x:v>Almost always</x:v>
      </x:c>
      <x:c r="F140" s="34" t="n">
        <x:v>4</x:v>
      </x:c>
      <x:c r="G140" s="41" t="b">
        <x:v>0</x:v>
      </x:c>
    </x:row>
    <x:row r="141">
      <x:c r="A141" s="33" t="str">
        <x:v>Q31</x:v>
      </x:c>
      <x:c r="B141" s="34" t="str">
        <x:v>SL</x:v>
      </x:c>
      <x:c r="C141" s="34" t="str">
        <x:v>FREQ</x:v>
      </x:c>
      <x:c r="D141" s="34" t="str">
        <x:v>NA</x:v>
      </x:c>
      <x:c r="E141" s="34" t="str">
        <x:v>Not applicable</x:v>
      </x:c>
      <x:c r="F141" s="34"/>
      <x:c r="G141" s="41" t="b">
        <x:v>1</x:v>
      </x:c>
    </x:row>
    <x:row r="142">
      <x:c r="A142" s="33" t="str">
        <x:v>Q32</x:v>
      </x:c>
      <x:c r="B142" s="34" t="str">
        <x:v>SL</x:v>
      </x:c>
      <x:c r="C142" s="34" t="str">
        <x:v>FREQ</x:v>
      </x:c>
      <x:c r="D142" s="34" t="str">
        <x:v>NVR</x:v>
      </x:c>
      <x:c r="E142" s="34" t="str">
        <x:v>Never</x:v>
      </x:c>
      <x:c r="F142" s="34" t="n">
        <x:v>0</x:v>
      </x:c>
      <x:c r="G142" s="41" t="b">
        <x:v>0</x:v>
      </x:c>
    </x:row>
    <x:row r="143">
      <x:c r="A143" s="33" t="str">
        <x:v>Q32</x:v>
      </x:c>
      <x:c r="B143" s="34" t="str">
        <x:v>SL</x:v>
      </x:c>
      <x:c r="C143" s="34" t="str">
        <x:v>FREQ</x:v>
      </x:c>
      <x:c r="D143" s="34" t="str">
        <x:v>RLY</x:v>
      </x:c>
      <x:c r="E143" s="34" t="str">
        <x:v>Rarely</x:v>
      </x:c>
      <x:c r="F143" s="34" t="n">
        <x:v>1</x:v>
      </x:c>
      <x:c r="G143" s="41" t="b">
        <x:v>0</x:v>
      </x:c>
    </x:row>
    <x:row r="144">
      <x:c r="A144" s="33" t="str">
        <x:v>Q32</x:v>
      </x:c>
      <x:c r="B144" s="34" t="str">
        <x:v>SL</x:v>
      </x:c>
      <x:c r="C144" s="34" t="str">
        <x:v>FREQ</x:v>
      </x:c>
      <x:c r="D144" s="34" t="str">
        <x:v>SMT</x:v>
      </x:c>
      <x:c r="E144" s="34" t="str">
        <x:v>Sometimes</x:v>
      </x:c>
      <x:c r="F144" s="34" t="n">
        <x:v>2</x:v>
      </x:c>
      <x:c r="G144" s="41" t="b">
        <x:v>0</x:v>
      </x:c>
    </x:row>
    <x:row r="145">
      <x:c r="A145" s="33" t="str">
        <x:v>Q32</x:v>
      </x:c>
      <x:c r="B145" s="34" t="str">
        <x:v>SL</x:v>
      </x:c>
      <x:c r="C145" s="34" t="str">
        <x:v>FREQ</x:v>
      </x:c>
      <x:c r="D145" s="34" t="str">
        <x:v>OFT</x:v>
      </x:c>
      <x:c r="E145" s="34" t="str">
        <x:v>Often</x:v>
      </x:c>
      <x:c r="F145" s="34" t="n">
        <x:v>3</x:v>
      </x:c>
      <x:c r="G145" s="41" t="b">
        <x:v>0</x:v>
      </x:c>
    </x:row>
    <x:row r="146">
      <x:c r="A146" s="33" t="str">
        <x:v>Q32</x:v>
      </x:c>
      <x:c r="B146" s="34" t="str">
        <x:v>SL</x:v>
      </x:c>
      <x:c r="C146" s="34" t="str">
        <x:v>FREQ</x:v>
      </x:c>
      <x:c r="D146" s="34" t="str">
        <x:v>ALW</x:v>
      </x:c>
      <x:c r="E146" s="34" t="str">
        <x:v>Almost always</x:v>
      </x:c>
      <x:c r="F146" s="34" t="n">
        <x:v>4</x:v>
      </x:c>
      <x:c r="G146" s="41" t="b">
        <x:v>0</x:v>
      </x:c>
    </x:row>
    <x:row r="147">
      <x:c r="A147" s="33" t="str">
        <x:v>Q32</x:v>
      </x:c>
      <x:c r="B147" s="34" t="str">
        <x:v>SL</x:v>
      </x:c>
      <x:c r="C147" s="34" t="str">
        <x:v>FREQ</x:v>
      </x:c>
      <x:c r="D147" s="34" t="str">
        <x:v>NA</x:v>
      </x:c>
      <x:c r="E147" s="34" t="str">
        <x:v>Not applicable</x:v>
      </x:c>
      <x:c r="F147" s="34"/>
      <x:c r="G147" s="41" t="b">
        <x:v>1</x:v>
      </x:c>
    </x:row>
    <x:row r="148">
      <x:c r="A148" s="33" t="str">
        <x:v>Q33</x:v>
      </x:c>
      <x:c r="B148" s="34" t="str">
        <x:v>SL</x:v>
      </x:c>
      <x:c r="C148" s="34" t="str">
        <x:v>FREQ</x:v>
      </x:c>
      <x:c r="D148" s="34" t="str">
        <x:v>NVR</x:v>
      </x:c>
      <x:c r="E148" s="34" t="str">
        <x:v>Never</x:v>
      </x:c>
      <x:c r="F148" s="34" t="n">
        <x:v>0</x:v>
      </x:c>
      <x:c r="G148" s="41" t="b">
        <x:v>0</x:v>
      </x:c>
    </x:row>
    <x:row r="149">
      <x:c r="A149" s="33" t="str">
        <x:v>Q33</x:v>
      </x:c>
      <x:c r="B149" s="34" t="str">
        <x:v>SL</x:v>
      </x:c>
      <x:c r="C149" s="34" t="str">
        <x:v>FREQ</x:v>
      </x:c>
      <x:c r="D149" s="34" t="str">
        <x:v>RLY</x:v>
      </x:c>
      <x:c r="E149" s="34" t="str">
        <x:v>Rarely</x:v>
      </x:c>
      <x:c r="F149" s="34" t="n">
        <x:v>1</x:v>
      </x:c>
      <x:c r="G149" s="41" t="b">
        <x:v>0</x:v>
      </x:c>
    </x:row>
    <x:row r="150">
      <x:c r="A150" s="33" t="str">
        <x:v>Q33</x:v>
      </x:c>
      <x:c r="B150" s="34" t="str">
        <x:v>SL</x:v>
      </x:c>
      <x:c r="C150" s="34" t="str">
        <x:v>FREQ</x:v>
      </x:c>
      <x:c r="D150" s="34" t="str">
        <x:v>SMT</x:v>
      </x:c>
      <x:c r="E150" s="34" t="str">
        <x:v>Sometimes</x:v>
      </x:c>
      <x:c r="F150" s="34" t="n">
        <x:v>2</x:v>
      </x:c>
      <x:c r="G150" s="41" t="b">
        <x:v>0</x:v>
      </x:c>
    </x:row>
    <x:row r="151">
      <x:c r="A151" s="33" t="str">
        <x:v>Q33</x:v>
      </x:c>
      <x:c r="B151" s="34" t="str">
        <x:v>SL</x:v>
      </x:c>
      <x:c r="C151" s="34" t="str">
        <x:v>FREQ</x:v>
      </x:c>
      <x:c r="D151" s="34" t="str">
        <x:v>OFT</x:v>
      </x:c>
      <x:c r="E151" s="34" t="str">
        <x:v>Often</x:v>
      </x:c>
      <x:c r="F151" s="34" t="n">
        <x:v>3</x:v>
      </x:c>
      <x:c r="G151" s="41" t="b">
        <x:v>0</x:v>
      </x:c>
    </x:row>
    <x:row r="152">
      <x:c r="A152" s="33" t="str">
        <x:v>Q33</x:v>
      </x:c>
      <x:c r="B152" s="34" t="str">
        <x:v>SL</x:v>
      </x:c>
      <x:c r="C152" s="34" t="str">
        <x:v>FREQ</x:v>
      </x:c>
      <x:c r="D152" s="34" t="str">
        <x:v>ALW</x:v>
      </x:c>
      <x:c r="E152" s="34" t="str">
        <x:v>Almost always</x:v>
      </x:c>
      <x:c r="F152" s="34" t="n">
        <x:v>4</x:v>
      </x:c>
      <x:c r="G152" s="41" t="b">
        <x:v>0</x:v>
      </x:c>
    </x:row>
    <x:row r="153">
      <x:c r="A153" s="33" t="str">
        <x:v>Q33</x:v>
      </x:c>
      <x:c r="B153" s="34" t="str">
        <x:v>SL</x:v>
      </x:c>
      <x:c r="C153" s="34" t="str">
        <x:v>FREQ</x:v>
      </x:c>
      <x:c r="D153" s="34" t="str">
        <x:v>NA</x:v>
      </x:c>
      <x:c r="E153" s="34" t="str">
        <x:v>Not applicable</x:v>
      </x:c>
      <x:c r="F153" s="34"/>
      <x:c r="G153" s="41" t="b">
        <x:v>1</x:v>
      </x:c>
    </x:row>
    <x:row r="154">
      <x:c r="A154" s="33" t="str">
        <x:v>Q34</x:v>
      </x:c>
      <x:c r="B154" s="34" t="str">
        <x:v>SL</x:v>
      </x:c>
      <x:c r="C154" s="34" t="str">
        <x:v>FREQ</x:v>
      </x:c>
      <x:c r="D154" s="34" t="str">
        <x:v>NVR</x:v>
      </x:c>
      <x:c r="E154" s="34" t="str">
        <x:v>Never</x:v>
      </x:c>
      <x:c r="F154" s="34" t="n">
        <x:v>0</x:v>
      </x:c>
      <x:c r="G154" s="41" t="b">
        <x:v>0</x:v>
      </x:c>
    </x:row>
    <x:row r="155">
      <x:c r="A155" s="33" t="str">
        <x:v>Q34</x:v>
      </x:c>
      <x:c r="B155" s="34" t="str">
        <x:v>SL</x:v>
      </x:c>
      <x:c r="C155" s="34" t="str">
        <x:v>FREQ</x:v>
      </x:c>
      <x:c r="D155" s="34" t="str">
        <x:v>RLY</x:v>
      </x:c>
      <x:c r="E155" s="34" t="str">
        <x:v>Rarely</x:v>
      </x:c>
      <x:c r="F155" s="34" t="n">
        <x:v>1</x:v>
      </x:c>
      <x:c r="G155" s="41" t="b">
        <x:v>0</x:v>
      </x:c>
    </x:row>
    <x:row r="156">
      <x:c r="A156" s="33" t="str">
        <x:v>Q34</x:v>
      </x:c>
      <x:c r="B156" s="34" t="str">
        <x:v>SL</x:v>
      </x:c>
      <x:c r="C156" s="34" t="str">
        <x:v>FREQ</x:v>
      </x:c>
      <x:c r="D156" s="34" t="str">
        <x:v>SMT</x:v>
      </x:c>
      <x:c r="E156" s="34" t="str">
        <x:v>Sometimes</x:v>
      </x:c>
      <x:c r="F156" s="34" t="n">
        <x:v>2</x:v>
      </x:c>
      <x:c r="G156" s="41" t="b">
        <x:v>0</x:v>
      </x:c>
    </x:row>
    <x:row r="157">
      <x:c r="A157" s="33" t="str">
        <x:v>Q34</x:v>
      </x:c>
      <x:c r="B157" s="34" t="str">
        <x:v>SL</x:v>
      </x:c>
      <x:c r="C157" s="34" t="str">
        <x:v>FREQ</x:v>
      </x:c>
      <x:c r="D157" s="34" t="str">
        <x:v>OFT</x:v>
      </x:c>
      <x:c r="E157" s="34" t="str">
        <x:v>Often</x:v>
      </x:c>
      <x:c r="F157" s="34" t="n">
        <x:v>3</x:v>
      </x:c>
      <x:c r="G157" s="41" t="b">
        <x:v>0</x:v>
      </x:c>
    </x:row>
    <x:row r="158">
      <x:c r="A158" s="33" t="str">
        <x:v>Q34</x:v>
      </x:c>
      <x:c r="B158" s="34" t="str">
        <x:v>SL</x:v>
      </x:c>
      <x:c r="C158" s="34" t="str">
        <x:v>FREQ</x:v>
      </x:c>
      <x:c r="D158" s="34" t="str">
        <x:v>ALW</x:v>
      </x:c>
      <x:c r="E158" s="34" t="str">
        <x:v>Almost always</x:v>
      </x:c>
      <x:c r="F158" s="34" t="n">
        <x:v>4</x:v>
      </x:c>
      <x:c r="G158" s="41" t="b">
        <x:v>0</x:v>
      </x:c>
    </x:row>
    <x:row r="159">
      <x:c r="A159" s="33" t="str">
        <x:v>Q34</x:v>
      </x:c>
      <x:c r="B159" s="34" t="str">
        <x:v>SL</x:v>
      </x:c>
      <x:c r="C159" s="34" t="str">
        <x:v>FREQ</x:v>
      </x:c>
      <x:c r="D159" s="34" t="str">
        <x:v>NA</x:v>
      </x:c>
      <x:c r="E159" s="34" t="str">
        <x:v>Not applicable</x:v>
      </x:c>
      <x:c r="F159" s="34"/>
      <x:c r="G159" s="41" t="b">
        <x:v>1</x:v>
      </x:c>
    </x:row>
    <x:row r="160">
      <x:c r="A160" s="33" t="str">
        <x:v>Q35</x:v>
      </x:c>
      <x:c r="B160" s="34" t="str">
        <x:v>IB</x:v>
      </x:c>
      <x:c r="C160" s="34" t="str">
        <x:v>FREQ</x:v>
      </x:c>
      <x:c r="D160" s="34" t="str">
        <x:v>NVR</x:v>
      </x:c>
      <x:c r="E160" s="34" t="str">
        <x:v>Never</x:v>
      </x:c>
      <x:c r="F160" s="34" t="n">
        <x:v>0</x:v>
      </x:c>
      <x:c r="G160" s="41" t="b">
        <x:v>0</x:v>
      </x:c>
    </x:row>
    <x:row r="161">
      <x:c r="A161" s="33" t="str">
        <x:v>Q35</x:v>
      </x:c>
      <x:c r="B161" s="34" t="str">
        <x:v>IB</x:v>
      </x:c>
      <x:c r="C161" s="34" t="str">
        <x:v>FREQ</x:v>
      </x:c>
      <x:c r="D161" s="34" t="str">
        <x:v>RLY</x:v>
      </x:c>
      <x:c r="E161" s="34" t="str">
        <x:v>Rarely</x:v>
      </x:c>
      <x:c r="F161" s="34" t="n">
        <x:v>1</x:v>
      </x:c>
      <x:c r="G161" s="41" t="b">
        <x:v>0</x:v>
      </x:c>
    </x:row>
    <x:row r="162">
      <x:c r="A162" s="33" t="str">
        <x:v>Q35</x:v>
      </x:c>
      <x:c r="B162" s="34" t="str">
        <x:v>IB</x:v>
      </x:c>
      <x:c r="C162" s="34" t="str">
        <x:v>FREQ</x:v>
      </x:c>
      <x:c r="D162" s="34" t="str">
        <x:v>SMT</x:v>
      </x:c>
      <x:c r="E162" s="34" t="str">
        <x:v>Sometimes</x:v>
      </x:c>
      <x:c r="F162" s="34" t="n">
        <x:v>2</x:v>
      </x:c>
      <x:c r="G162" s="41" t="b">
        <x:v>0</x:v>
      </x:c>
    </x:row>
    <x:row r="163">
      <x:c r="A163" s="33" t="str">
        <x:v>Q35</x:v>
      </x:c>
      <x:c r="B163" s="34" t="str">
        <x:v>IB</x:v>
      </x:c>
      <x:c r="C163" s="34" t="str">
        <x:v>FREQ</x:v>
      </x:c>
      <x:c r="D163" s="34" t="str">
        <x:v>OFT</x:v>
      </x:c>
      <x:c r="E163" s="34" t="str">
        <x:v>Often</x:v>
      </x:c>
      <x:c r="F163" s="34" t="n">
        <x:v>3</x:v>
      </x:c>
      <x:c r="G163" s="41" t="b">
        <x:v>0</x:v>
      </x:c>
    </x:row>
    <x:row r="164">
      <x:c r="A164" s="33" t="str">
        <x:v>Q35</x:v>
      </x:c>
      <x:c r="B164" s="34" t="str">
        <x:v>IB</x:v>
      </x:c>
      <x:c r="C164" s="34" t="str">
        <x:v>FREQ</x:v>
      </x:c>
      <x:c r="D164" s="34" t="str">
        <x:v>ALW</x:v>
      </x:c>
      <x:c r="E164" s="34" t="str">
        <x:v>Almost always</x:v>
      </x:c>
      <x:c r="F164" s="34" t="n">
        <x:v>4</x:v>
      </x:c>
      <x:c r="G164" s="41" t="b">
        <x:v>0</x:v>
      </x:c>
    </x:row>
    <x:row r="165">
      <x:c r="A165" s="33" t="str">
        <x:v>Q35</x:v>
      </x:c>
      <x:c r="B165" s="34" t="str">
        <x:v>IB</x:v>
      </x:c>
      <x:c r="C165" s="34" t="str">
        <x:v>FREQ</x:v>
      </x:c>
      <x:c r="D165" s="34" t="str">
        <x:v>NA</x:v>
      </x:c>
      <x:c r="E165" s="34" t="str">
        <x:v>Not applicable</x:v>
      </x:c>
      <x:c r="F165" s="34"/>
      <x:c r="G165" s="41" t="b">
        <x:v>1</x:v>
      </x:c>
    </x:row>
    <x:row r="166">
      <x:c r="A166" s="33" t="str">
        <x:v>Q36</x:v>
      </x:c>
      <x:c r="B166" s="34" t="str">
        <x:v>IB</x:v>
      </x:c>
      <x:c r="C166" s="34" t="str">
        <x:v>FREQ</x:v>
      </x:c>
      <x:c r="D166" s="34" t="str">
        <x:v>NVR</x:v>
      </x:c>
      <x:c r="E166" s="34" t="str">
        <x:v>Never</x:v>
      </x:c>
      <x:c r="F166" s="34" t="n">
        <x:v>0</x:v>
      </x:c>
      <x:c r="G166" s="41" t="b">
        <x:v>0</x:v>
      </x:c>
    </x:row>
    <x:row r="167">
      <x:c r="A167" s="33" t="str">
        <x:v>Q36</x:v>
      </x:c>
      <x:c r="B167" s="34" t="str">
        <x:v>IB</x:v>
      </x:c>
      <x:c r="C167" s="34" t="str">
        <x:v>FREQ</x:v>
      </x:c>
      <x:c r="D167" s="34" t="str">
        <x:v>RLY</x:v>
      </x:c>
      <x:c r="E167" s="34" t="str">
        <x:v>Rarely</x:v>
      </x:c>
      <x:c r="F167" s="34" t="n">
        <x:v>1</x:v>
      </x:c>
      <x:c r="G167" s="41" t="b">
        <x:v>0</x:v>
      </x:c>
    </x:row>
    <x:row r="168">
      <x:c r="A168" s="33" t="str">
        <x:v>Q36</x:v>
      </x:c>
      <x:c r="B168" s="34" t="str">
        <x:v>IB</x:v>
      </x:c>
      <x:c r="C168" s="34" t="str">
        <x:v>FREQ</x:v>
      </x:c>
      <x:c r="D168" s="34" t="str">
        <x:v>SMT</x:v>
      </x:c>
      <x:c r="E168" s="34" t="str">
        <x:v>Sometimes</x:v>
      </x:c>
      <x:c r="F168" s="34" t="n">
        <x:v>2</x:v>
      </x:c>
      <x:c r="G168" s="41" t="b">
        <x:v>0</x:v>
      </x:c>
    </x:row>
    <x:row r="169">
      <x:c r="A169" s="33" t="str">
        <x:v>Q36</x:v>
      </x:c>
      <x:c r="B169" s="34" t="str">
        <x:v>IB</x:v>
      </x:c>
      <x:c r="C169" s="34" t="str">
        <x:v>FREQ</x:v>
      </x:c>
      <x:c r="D169" s="34" t="str">
        <x:v>OFT</x:v>
      </x:c>
      <x:c r="E169" s="34" t="str">
        <x:v>Often</x:v>
      </x:c>
      <x:c r="F169" s="34" t="n">
        <x:v>3</x:v>
      </x:c>
      <x:c r="G169" s="41" t="b">
        <x:v>0</x:v>
      </x:c>
    </x:row>
    <x:row r="170">
      <x:c r="A170" s="33" t="str">
        <x:v>Q36</x:v>
      </x:c>
      <x:c r="B170" s="34" t="str">
        <x:v>IB</x:v>
      </x:c>
      <x:c r="C170" s="34" t="str">
        <x:v>FREQ</x:v>
      </x:c>
      <x:c r="D170" s="34" t="str">
        <x:v>ALW</x:v>
      </x:c>
      <x:c r="E170" s="34" t="str">
        <x:v>Almost always</x:v>
      </x:c>
      <x:c r="F170" s="34" t="n">
        <x:v>4</x:v>
      </x:c>
      <x:c r="G170" s="41" t="b">
        <x:v>0</x:v>
      </x:c>
    </x:row>
    <x:row r="171">
      <x:c r="A171" s="33" t="str">
        <x:v>Q36</x:v>
      </x:c>
      <x:c r="B171" s="34" t="str">
        <x:v>IB</x:v>
      </x:c>
      <x:c r="C171" s="34" t="str">
        <x:v>FREQ</x:v>
      </x:c>
      <x:c r="D171" s="34" t="str">
        <x:v>NA</x:v>
      </x:c>
      <x:c r="E171" s="34" t="str">
        <x:v>Not applicable</x:v>
      </x:c>
      <x:c r="F171" s="34"/>
      <x:c r="G171" s="41" t="b">
        <x:v>1</x:v>
      </x:c>
    </x:row>
    <x:row r="172">
      <x:c r="A172" s="33" t="str">
        <x:v>Q37</x:v>
      </x:c>
      <x:c r="B172" s="34" t="str">
        <x:v>IB</x:v>
      </x:c>
      <x:c r="C172" s="34" t="str">
        <x:v>FREQ</x:v>
      </x:c>
      <x:c r="D172" s="34" t="str">
        <x:v>NVR</x:v>
      </x:c>
      <x:c r="E172" s="34" t="str">
        <x:v>Never</x:v>
      </x:c>
      <x:c r="F172" s="34" t="n">
        <x:v>0</x:v>
      </x:c>
      <x:c r="G172" s="41" t="b">
        <x:v>0</x:v>
      </x:c>
    </x:row>
    <x:row r="173">
      <x:c r="A173" s="33" t="str">
        <x:v>Q37</x:v>
      </x:c>
      <x:c r="B173" s="34" t="str">
        <x:v>IB</x:v>
      </x:c>
      <x:c r="C173" s="34" t="str">
        <x:v>FREQ</x:v>
      </x:c>
      <x:c r="D173" s="34" t="str">
        <x:v>RLY</x:v>
      </x:c>
      <x:c r="E173" s="34" t="str">
        <x:v>Rarely</x:v>
      </x:c>
      <x:c r="F173" s="34" t="n">
        <x:v>1</x:v>
      </x:c>
      <x:c r="G173" s="41" t="b">
        <x:v>0</x:v>
      </x:c>
    </x:row>
    <x:row r="174">
      <x:c r="A174" s="33" t="str">
        <x:v>Q37</x:v>
      </x:c>
      <x:c r="B174" s="34" t="str">
        <x:v>IB</x:v>
      </x:c>
      <x:c r="C174" s="34" t="str">
        <x:v>FREQ</x:v>
      </x:c>
      <x:c r="D174" s="34" t="str">
        <x:v>SMT</x:v>
      </x:c>
      <x:c r="E174" s="34" t="str">
        <x:v>Sometimes</x:v>
      </x:c>
      <x:c r="F174" s="34" t="n">
        <x:v>2</x:v>
      </x:c>
      <x:c r="G174" s="41" t="b">
        <x:v>0</x:v>
      </x:c>
    </x:row>
    <x:row r="175">
      <x:c r="A175" s="33" t="str">
        <x:v>Q37</x:v>
      </x:c>
      <x:c r="B175" s="34" t="str">
        <x:v>IB</x:v>
      </x:c>
      <x:c r="C175" s="34" t="str">
        <x:v>FREQ</x:v>
      </x:c>
      <x:c r="D175" s="34" t="str">
        <x:v>OFT</x:v>
      </x:c>
      <x:c r="E175" s="34" t="str">
        <x:v>Often</x:v>
      </x:c>
      <x:c r="F175" s="34" t="n">
        <x:v>3</x:v>
      </x:c>
      <x:c r="G175" s="41" t="b">
        <x:v>0</x:v>
      </x:c>
    </x:row>
    <x:row r="176">
      <x:c r="A176" s="33" t="str">
        <x:v>Q37</x:v>
      </x:c>
      <x:c r="B176" s="34" t="str">
        <x:v>IB</x:v>
      </x:c>
      <x:c r="C176" s="34" t="str">
        <x:v>FREQ</x:v>
      </x:c>
      <x:c r="D176" s="34" t="str">
        <x:v>ALW</x:v>
      </x:c>
      <x:c r="E176" s="34" t="str">
        <x:v>Almost always</x:v>
      </x:c>
      <x:c r="F176" s="34" t="n">
        <x:v>4</x:v>
      </x:c>
      <x:c r="G176" s="41" t="b">
        <x:v>0</x:v>
      </x:c>
    </x:row>
    <x:row r="177">
      <x:c r="A177" s="33" t="str">
        <x:v>Q37</x:v>
      </x:c>
      <x:c r="B177" s="34" t="str">
        <x:v>IB</x:v>
      </x:c>
      <x:c r="C177" s="34" t="str">
        <x:v>FREQ</x:v>
      </x:c>
      <x:c r="D177" s="34" t="str">
        <x:v>NA</x:v>
      </x:c>
      <x:c r="E177" s="34" t="str">
        <x:v>Not applicable</x:v>
      </x:c>
      <x:c r="F177" s="34"/>
      <x:c r="G177" s="41" t="b">
        <x:v>1</x:v>
      </x:c>
    </x:row>
    <x:row r="178">
      <x:c r="A178" s="33" t="str">
        <x:v>Q38</x:v>
      </x:c>
      <x:c r="B178" s="34" t="str">
        <x:v>IB</x:v>
      </x:c>
      <x:c r="C178" s="34" t="str">
        <x:v>FREQ</x:v>
      </x:c>
      <x:c r="D178" s="34" t="str">
        <x:v>NVR</x:v>
      </x:c>
      <x:c r="E178" s="34" t="str">
        <x:v>Never</x:v>
      </x:c>
      <x:c r="F178" s="34" t="n">
        <x:v>0</x:v>
      </x:c>
      <x:c r="G178" s="41" t="b">
        <x:v>0</x:v>
      </x:c>
    </x:row>
    <x:row r="179">
      <x:c r="A179" s="33" t="str">
        <x:v>Q38</x:v>
      </x:c>
      <x:c r="B179" s="34" t="str">
        <x:v>IB</x:v>
      </x:c>
      <x:c r="C179" s="34" t="str">
        <x:v>FREQ</x:v>
      </x:c>
      <x:c r="D179" s="34" t="str">
        <x:v>RLY</x:v>
      </x:c>
      <x:c r="E179" s="34" t="str">
        <x:v>Rarely</x:v>
      </x:c>
      <x:c r="F179" s="34" t="n">
        <x:v>1</x:v>
      </x:c>
      <x:c r="G179" s="41" t="b">
        <x:v>0</x:v>
      </x:c>
    </x:row>
    <x:row r="180">
      <x:c r="A180" s="33" t="str">
        <x:v>Q38</x:v>
      </x:c>
      <x:c r="B180" s="34" t="str">
        <x:v>IB</x:v>
      </x:c>
      <x:c r="C180" s="34" t="str">
        <x:v>FREQ</x:v>
      </x:c>
      <x:c r="D180" s="34" t="str">
        <x:v>SMT</x:v>
      </x:c>
      <x:c r="E180" s="34" t="str">
        <x:v>Sometimes</x:v>
      </x:c>
      <x:c r="F180" s="34" t="n">
        <x:v>2</x:v>
      </x:c>
      <x:c r="G180" s="41" t="b">
        <x:v>0</x:v>
      </x:c>
    </x:row>
    <x:row r="181">
      <x:c r="A181" s="33" t="str">
        <x:v>Q38</x:v>
      </x:c>
      <x:c r="B181" s="34" t="str">
        <x:v>IB</x:v>
      </x:c>
      <x:c r="C181" s="34" t="str">
        <x:v>FREQ</x:v>
      </x:c>
      <x:c r="D181" s="34" t="str">
        <x:v>OFT</x:v>
      </x:c>
      <x:c r="E181" s="34" t="str">
        <x:v>Often</x:v>
      </x:c>
      <x:c r="F181" s="34" t="n">
        <x:v>3</x:v>
      </x:c>
      <x:c r="G181" s="41" t="b">
        <x:v>0</x:v>
      </x:c>
    </x:row>
    <x:row r="182">
      <x:c r="A182" s="33" t="str">
        <x:v>Q38</x:v>
      </x:c>
      <x:c r="B182" s="34" t="str">
        <x:v>IB</x:v>
      </x:c>
      <x:c r="C182" s="34" t="str">
        <x:v>FREQ</x:v>
      </x:c>
      <x:c r="D182" s="34" t="str">
        <x:v>ALW</x:v>
      </x:c>
      <x:c r="E182" s="34" t="str">
        <x:v>Almost always</x:v>
      </x:c>
      <x:c r="F182" s="34" t="n">
        <x:v>4</x:v>
      </x:c>
      <x:c r="G182" s="41" t="b">
        <x:v>0</x:v>
      </x:c>
    </x:row>
    <x:row r="183">
      <x:c r="A183" s="33" t="str">
        <x:v>Q38</x:v>
      </x:c>
      <x:c r="B183" s="34" t="str">
        <x:v>IB</x:v>
      </x:c>
      <x:c r="C183" s="34" t="str">
        <x:v>FREQ</x:v>
      </x:c>
      <x:c r="D183" s="34" t="str">
        <x:v>NA</x:v>
      </x:c>
      <x:c r="E183" s="34" t="str">
        <x:v>Not applicable</x:v>
      </x:c>
      <x:c r="F183" s="34"/>
      <x:c r="G183" s="41" t="b">
        <x:v>1</x:v>
      </x:c>
    </x:row>
    <x:row r="184">
      <x:c r="A184" s="33" t="str">
        <x:v>Q39</x:v>
      </x:c>
      <x:c r="B184" s="34" t="str">
        <x:v>IB</x:v>
      </x:c>
      <x:c r="C184" s="34" t="str">
        <x:v>FREQ</x:v>
      </x:c>
      <x:c r="D184" s="34" t="str">
        <x:v>NVR</x:v>
      </x:c>
      <x:c r="E184" s="34" t="str">
        <x:v>Never</x:v>
      </x:c>
      <x:c r="F184" s="34" t="n">
        <x:v>0</x:v>
      </x:c>
      <x:c r="G184" s="41" t="b">
        <x:v>0</x:v>
      </x:c>
    </x:row>
    <x:row r="185">
      <x:c r="A185" s="33" t="str">
        <x:v>Q39</x:v>
      </x:c>
      <x:c r="B185" s="34" t="str">
        <x:v>IB</x:v>
      </x:c>
      <x:c r="C185" s="34" t="str">
        <x:v>FREQ</x:v>
      </x:c>
      <x:c r="D185" s="34" t="str">
        <x:v>RLY</x:v>
      </x:c>
      <x:c r="E185" s="34" t="str">
        <x:v>Rarely</x:v>
      </x:c>
      <x:c r="F185" s="34" t="n">
        <x:v>1</x:v>
      </x:c>
      <x:c r="G185" s="41" t="b">
        <x:v>0</x:v>
      </x:c>
    </x:row>
    <x:row r="186">
      <x:c r="A186" s="33" t="str">
        <x:v>Q39</x:v>
      </x:c>
      <x:c r="B186" s="34" t="str">
        <x:v>IB</x:v>
      </x:c>
      <x:c r="C186" s="34" t="str">
        <x:v>FREQ</x:v>
      </x:c>
      <x:c r="D186" s="34" t="str">
        <x:v>SMT</x:v>
      </x:c>
      <x:c r="E186" s="34" t="str">
        <x:v>Sometimes</x:v>
      </x:c>
      <x:c r="F186" s="34" t="n">
        <x:v>2</x:v>
      </x:c>
      <x:c r="G186" s="41" t="b">
        <x:v>0</x:v>
      </x:c>
    </x:row>
    <x:row r="187">
      <x:c r="A187" s="33" t="str">
        <x:v>Q39</x:v>
      </x:c>
      <x:c r="B187" s="34" t="str">
        <x:v>IB</x:v>
      </x:c>
      <x:c r="C187" s="34" t="str">
        <x:v>FREQ</x:v>
      </x:c>
      <x:c r="D187" s="34" t="str">
        <x:v>OFT</x:v>
      </x:c>
      <x:c r="E187" s="34" t="str">
        <x:v>Often</x:v>
      </x:c>
      <x:c r="F187" s="34" t="n">
        <x:v>3</x:v>
      </x:c>
      <x:c r="G187" s="41" t="b">
        <x:v>0</x:v>
      </x:c>
    </x:row>
    <x:row r="188">
      <x:c r="A188" s="33" t="str">
        <x:v>Q39</x:v>
      </x:c>
      <x:c r="B188" s="34" t="str">
        <x:v>IB</x:v>
      </x:c>
      <x:c r="C188" s="34" t="str">
        <x:v>FREQ</x:v>
      </x:c>
      <x:c r="D188" s="34" t="str">
        <x:v>ALW</x:v>
      </x:c>
      <x:c r="E188" s="34" t="str">
        <x:v>Almost always</x:v>
      </x:c>
      <x:c r="F188" s="34" t="n">
        <x:v>4</x:v>
      </x:c>
      <x:c r="G188" s="41" t="b">
        <x:v>0</x:v>
      </x:c>
    </x:row>
    <x:row r="189">
      <x:c r="A189" s="33" t="str">
        <x:v>Q39</x:v>
      </x:c>
      <x:c r="B189" s="34" t="str">
        <x:v>IB</x:v>
      </x:c>
      <x:c r="C189" s="34" t="str">
        <x:v>FREQ</x:v>
      </x:c>
      <x:c r="D189" s="34" t="str">
        <x:v>NA</x:v>
      </x:c>
      <x:c r="E189" s="34" t="str">
        <x:v>Not applicable</x:v>
      </x:c>
      <x:c r="F189" s="34"/>
      <x:c r="G189" s="41" t="b">
        <x:v>1</x:v>
      </x:c>
    </x:row>
    <x:row r="190">
      <x:c r="A190" s="33" t="str">
        <x:v>Q40</x:v>
      </x:c>
      <x:c r="B190" s="34" t="str">
        <x:v>IB</x:v>
      </x:c>
      <x:c r="C190" s="34" t="str">
        <x:v>FREQ</x:v>
      </x:c>
      <x:c r="D190" s="34" t="str">
        <x:v>NVR</x:v>
      </x:c>
      <x:c r="E190" s="34" t="str">
        <x:v>Never</x:v>
      </x:c>
      <x:c r="F190" s="34" t="n">
        <x:v>0</x:v>
      </x:c>
      <x:c r="G190" s="41" t="b">
        <x:v>0</x:v>
      </x:c>
    </x:row>
    <x:row r="191">
      <x:c r="A191" s="33" t="str">
        <x:v>Q40</x:v>
      </x:c>
      <x:c r="B191" s="34" t="str">
        <x:v>IB</x:v>
      </x:c>
      <x:c r="C191" s="34" t="str">
        <x:v>FREQ</x:v>
      </x:c>
      <x:c r="D191" s="34" t="str">
        <x:v>RLY</x:v>
      </x:c>
      <x:c r="E191" s="34" t="str">
        <x:v>Rarely</x:v>
      </x:c>
      <x:c r="F191" s="34" t="n">
        <x:v>1</x:v>
      </x:c>
      <x:c r="G191" s="41" t="b">
        <x:v>0</x:v>
      </x:c>
    </x:row>
    <x:row r="192">
      <x:c r="A192" s="33" t="str">
        <x:v>Q40</x:v>
      </x:c>
      <x:c r="B192" s="34" t="str">
        <x:v>IB</x:v>
      </x:c>
      <x:c r="C192" s="34" t="str">
        <x:v>FREQ</x:v>
      </x:c>
      <x:c r="D192" s="34" t="str">
        <x:v>SMT</x:v>
      </x:c>
      <x:c r="E192" s="34" t="str">
        <x:v>Sometimes</x:v>
      </x:c>
      <x:c r="F192" s="34" t="n">
        <x:v>2</x:v>
      </x:c>
      <x:c r="G192" s="41" t="b">
        <x:v>0</x:v>
      </x:c>
    </x:row>
    <x:row r="193">
      <x:c r="A193" s="33" t="str">
        <x:v>Q40</x:v>
      </x:c>
      <x:c r="B193" s="34" t="str">
        <x:v>IB</x:v>
      </x:c>
      <x:c r="C193" s="34" t="str">
        <x:v>FREQ</x:v>
      </x:c>
      <x:c r="D193" s="34" t="str">
        <x:v>OFT</x:v>
      </x:c>
      <x:c r="E193" s="34" t="str">
        <x:v>Often</x:v>
      </x:c>
      <x:c r="F193" s="34" t="n">
        <x:v>3</x:v>
      </x:c>
      <x:c r="G193" s="41" t="b">
        <x:v>0</x:v>
      </x:c>
    </x:row>
    <x:row r="194">
      <x:c r="A194" s="33" t="str">
        <x:v>Q40</x:v>
      </x:c>
      <x:c r="B194" s="34" t="str">
        <x:v>IB</x:v>
      </x:c>
      <x:c r="C194" s="34" t="str">
        <x:v>FREQ</x:v>
      </x:c>
      <x:c r="D194" s="34" t="str">
        <x:v>ALW</x:v>
      </x:c>
      <x:c r="E194" s="34" t="str">
        <x:v>Almost always</x:v>
      </x:c>
      <x:c r="F194" s="34" t="n">
        <x:v>4</x:v>
      </x:c>
      <x:c r="G194" s="41" t="b">
        <x:v>0</x:v>
      </x:c>
    </x:row>
    <x:row r="195">
      <x:c r="A195" s="33" t="str">
        <x:v>Q40</x:v>
      </x:c>
      <x:c r="B195" s="34" t="str">
        <x:v>IB</x:v>
      </x:c>
      <x:c r="C195" s="34" t="str">
        <x:v>FREQ</x:v>
      </x:c>
      <x:c r="D195" s="34" t="str">
        <x:v>NA</x:v>
      </x:c>
      <x:c r="E195" s="34" t="str">
        <x:v>Not applicable</x:v>
      </x:c>
      <x:c r="F195" s="34"/>
      <x:c r="G195" s="41" t="b">
        <x:v>1</x:v>
      </x:c>
    </x:row>
    <x:row r="196">
      <x:c r="A196" s="33" t="str">
        <x:v>Q41</x:v>
      </x:c>
      <x:c r="B196" s="34" t="str">
        <x:v>CH</x:v>
      </x:c>
      <x:c r="C196" s="34" t="str">
        <x:v>FREQ</x:v>
      </x:c>
      <x:c r="D196" s="34" t="str">
        <x:v>NVR</x:v>
      </x:c>
      <x:c r="E196" s="34" t="str">
        <x:v>Never</x:v>
      </x:c>
      <x:c r="F196" s="34" t="n">
        <x:v>0</x:v>
      </x:c>
      <x:c r="G196" s="41" t="b">
        <x:v>0</x:v>
      </x:c>
    </x:row>
    <x:row r="197">
      <x:c r="A197" s="33" t="str">
        <x:v>Q41</x:v>
      </x:c>
      <x:c r="B197" s="34" t="str">
        <x:v>CH</x:v>
      </x:c>
      <x:c r="C197" s="34" t="str">
        <x:v>FREQ</x:v>
      </x:c>
      <x:c r="D197" s="34" t="str">
        <x:v>RLY</x:v>
      </x:c>
      <x:c r="E197" s="34" t="str">
        <x:v>Rarely</x:v>
      </x:c>
      <x:c r="F197" s="34" t="n">
        <x:v>1</x:v>
      </x:c>
      <x:c r="G197" s="41" t="b">
        <x:v>0</x:v>
      </x:c>
    </x:row>
    <x:row r="198">
      <x:c r="A198" s="33" t="str">
        <x:v>Q41</x:v>
      </x:c>
      <x:c r="B198" s="34" t="str">
        <x:v>CH</x:v>
      </x:c>
      <x:c r="C198" s="34" t="str">
        <x:v>FREQ</x:v>
      </x:c>
      <x:c r="D198" s="34" t="str">
        <x:v>SMT</x:v>
      </x:c>
      <x:c r="E198" s="34" t="str">
        <x:v>Sometimes</x:v>
      </x:c>
      <x:c r="F198" s="34" t="n">
        <x:v>2</x:v>
      </x:c>
      <x:c r="G198" s="41" t="b">
        <x:v>0</x:v>
      </x:c>
    </x:row>
    <x:row r="199">
      <x:c r="A199" s="33" t="str">
        <x:v>Q41</x:v>
      </x:c>
      <x:c r="B199" s="34" t="str">
        <x:v>CH</x:v>
      </x:c>
      <x:c r="C199" s="34" t="str">
        <x:v>FREQ</x:v>
      </x:c>
      <x:c r="D199" s="34" t="str">
        <x:v>OFT</x:v>
      </x:c>
      <x:c r="E199" s="34" t="str">
        <x:v>Often</x:v>
      </x:c>
      <x:c r="F199" s="34" t="n">
        <x:v>3</x:v>
      </x:c>
      <x:c r="G199" s="41" t="b">
        <x:v>0</x:v>
      </x:c>
    </x:row>
    <x:row r="200">
      <x:c r="A200" s="33" t="str">
        <x:v>Q41</x:v>
      </x:c>
      <x:c r="B200" s="34" t="str">
        <x:v>CH</x:v>
      </x:c>
      <x:c r="C200" s="34" t="str">
        <x:v>FREQ</x:v>
      </x:c>
      <x:c r="D200" s="34" t="str">
        <x:v>ALW</x:v>
      </x:c>
      <x:c r="E200" s="34" t="str">
        <x:v>Almost always</x:v>
      </x:c>
      <x:c r="F200" s="34" t="n">
        <x:v>4</x:v>
      </x:c>
      <x:c r="G200" s="41" t="b">
        <x:v>0</x:v>
      </x:c>
    </x:row>
    <x:row r="201">
      <x:c r="A201" s="33" t="str">
        <x:v>Q41</x:v>
      </x:c>
      <x:c r="B201" s="34" t="str">
        <x:v>CH</x:v>
      </x:c>
      <x:c r="C201" s="34" t="str">
        <x:v>FREQ</x:v>
      </x:c>
      <x:c r="D201" s="34" t="str">
        <x:v>NA</x:v>
      </x:c>
      <x:c r="E201" s="34" t="str">
        <x:v>Not applicable</x:v>
      </x:c>
      <x:c r="F201" s="34"/>
      <x:c r="G201" s="41" t="b">
        <x:v>1</x:v>
      </x:c>
    </x:row>
    <x:row r="202">
      <x:c r="A202" s="33" t="str">
        <x:v>Q42</x:v>
      </x:c>
      <x:c r="B202" s="34" t="str">
        <x:v>CH</x:v>
      </x:c>
      <x:c r="C202" s="34" t="str">
        <x:v>FREQ</x:v>
      </x:c>
      <x:c r="D202" s="34" t="str">
        <x:v>NVR</x:v>
      </x:c>
      <x:c r="E202" s="34" t="str">
        <x:v>Never</x:v>
      </x:c>
      <x:c r="F202" s="34" t="n">
        <x:v>0</x:v>
      </x:c>
      <x:c r="G202" s="41" t="b">
        <x:v>0</x:v>
      </x:c>
    </x:row>
    <x:row r="203">
      <x:c r="A203" s="33" t="str">
        <x:v>Q42</x:v>
      </x:c>
      <x:c r="B203" s="34" t="str">
        <x:v>CH</x:v>
      </x:c>
      <x:c r="C203" s="34" t="str">
        <x:v>FREQ</x:v>
      </x:c>
      <x:c r="D203" s="34" t="str">
        <x:v>RLY</x:v>
      </x:c>
      <x:c r="E203" s="34" t="str">
        <x:v>Rarely</x:v>
      </x:c>
      <x:c r="F203" s="34" t="n">
        <x:v>1</x:v>
      </x:c>
      <x:c r="G203" s="41" t="b">
        <x:v>0</x:v>
      </x:c>
    </x:row>
    <x:row r="204">
      <x:c r="A204" s="33" t="str">
        <x:v>Q42</x:v>
      </x:c>
      <x:c r="B204" s="34" t="str">
        <x:v>CH</x:v>
      </x:c>
      <x:c r="C204" s="34" t="str">
        <x:v>FREQ</x:v>
      </x:c>
      <x:c r="D204" s="34" t="str">
        <x:v>SMT</x:v>
      </x:c>
      <x:c r="E204" s="34" t="str">
        <x:v>Sometimes</x:v>
      </x:c>
      <x:c r="F204" s="34" t="n">
        <x:v>2</x:v>
      </x:c>
      <x:c r="G204" s="41" t="b">
        <x:v>0</x:v>
      </x:c>
    </x:row>
    <x:row r="205">
      <x:c r="A205" s="33" t="str">
        <x:v>Q42</x:v>
      </x:c>
      <x:c r="B205" s="34" t="str">
        <x:v>CH</x:v>
      </x:c>
      <x:c r="C205" s="34" t="str">
        <x:v>FREQ</x:v>
      </x:c>
      <x:c r="D205" s="34" t="str">
        <x:v>OFT</x:v>
      </x:c>
      <x:c r="E205" s="34" t="str">
        <x:v>Often</x:v>
      </x:c>
      <x:c r="F205" s="34" t="n">
        <x:v>3</x:v>
      </x:c>
      <x:c r="G205" s="41" t="b">
        <x:v>0</x:v>
      </x:c>
    </x:row>
    <x:row r="206">
      <x:c r="A206" s="33" t="str">
        <x:v>Q42</x:v>
      </x:c>
      <x:c r="B206" s="34" t="str">
        <x:v>CH</x:v>
      </x:c>
      <x:c r="C206" s="34" t="str">
        <x:v>FREQ</x:v>
      </x:c>
      <x:c r="D206" s="34" t="str">
        <x:v>ALW</x:v>
      </x:c>
      <x:c r="E206" s="34" t="str">
        <x:v>Almost always</x:v>
      </x:c>
      <x:c r="F206" s="34" t="n">
        <x:v>4</x:v>
      </x:c>
      <x:c r="G206" s="41" t="b">
        <x:v>0</x:v>
      </x:c>
    </x:row>
    <x:row r="207">
      <x:c r="A207" s="33" t="str">
        <x:v>Q42</x:v>
      </x:c>
      <x:c r="B207" s="34" t="str">
        <x:v>CH</x:v>
      </x:c>
      <x:c r="C207" s="34" t="str">
        <x:v>FREQ</x:v>
      </x:c>
      <x:c r="D207" s="34" t="str">
        <x:v>NA</x:v>
      </x:c>
      <x:c r="E207" s="34" t="str">
        <x:v>Not applicable</x:v>
      </x:c>
      <x:c r="F207" s="34"/>
      <x:c r="G207" s="41" t="b">
        <x:v>1</x:v>
      </x:c>
    </x:row>
    <x:row r="208">
      <x:c r="A208" s="33" t="str">
        <x:v>Q43</x:v>
      </x:c>
      <x:c r="B208" s="34" t="str">
        <x:v>CH</x:v>
      </x:c>
      <x:c r="C208" s="34" t="str">
        <x:v>FREQ</x:v>
      </x:c>
      <x:c r="D208" s="34" t="str">
        <x:v>NVR</x:v>
      </x:c>
      <x:c r="E208" s="34" t="str">
        <x:v>Never</x:v>
      </x:c>
      <x:c r="F208" s="34" t="n">
        <x:v>0</x:v>
      </x:c>
      <x:c r="G208" s="41" t="b">
        <x:v>0</x:v>
      </x:c>
    </x:row>
    <x:row r="209">
      <x:c r="A209" s="33" t="str">
        <x:v>Q43</x:v>
      </x:c>
      <x:c r="B209" s="34" t="str">
        <x:v>CH</x:v>
      </x:c>
      <x:c r="C209" s="34" t="str">
        <x:v>FREQ</x:v>
      </x:c>
      <x:c r="D209" s="34" t="str">
        <x:v>RLY</x:v>
      </x:c>
      <x:c r="E209" s="34" t="str">
        <x:v>Rarely</x:v>
      </x:c>
      <x:c r="F209" s="34" t="n">
        <x:v>1</x:v>
      </x:c>
      <x:c r="G209" s="41" t="b">
        <x:v>0</x:v>
      </x:c>
    </x:row>
    <x:row r="210">
      <x:c r="A210" s="33" t="str">
        <x:v>Q43</x:v>
      </x:c>
      <x:c r="B210" s="34" t="str">
        <x:v>CH</x:v>
      </x:c>
      <x:c r="C210" s="34" t="str">
        <x:v>FREQ</x:v>
      </x:c>
      <x:c r="D210" s="34" t="str">
        <x:v>SMT</x:v>
      </x:c>
      <x:c r="E210" s="34" t="str">
        <x:v>Sometimes</x:v>
      </x:c>
      <x:c r="F210" s="34" t="n">
        <x:v>2</x:v>
      </x:c>
      <x:c r="G210" s="41" t="b">
        <x:v>0</x:v>
      </x:c>
    </x:row>
    <x:row r="211">
      <x:c r="A211" s="33" t="str">
        <x:v>Q43</x:v>
      </x:c>
      <x:c r="B211" s="34" t="str">
        <x:v>CH</x:v>
      </x:c>
      <x:c r="C211" s="34" t="str">
        <x:v>FREQ</x:v>
      </x:c>
      <x:c r="D211" s="34" t="str">
        <x:v>OFT</x:v>
      </x:c>
      <x:c r="E211" s="34" t="str">
        <x:v>Often</x:v>
      </x:c>
      <x:c r="F211" s="34" t="n">
        <x:v>3</x:v>
      </x:c>
      <x:c r="G211" s="41" t="b">
        <x:v>0</x:v>
      </x:c>
    </x:row>
    <x:row r="212">
      <x:c r="A212" s="33" t="str">
        <x:v>Q43</x:v>
      </x:c>
      <x:c r="B212" s="34" t="str">
        <x:v>CH</x:v>
      </x:c>
      <x:c r="C212" s="34" t="str">
        <x:v>FREQ</x:v>
      </x:c>
      <x:c r="D212" s="34" t="str">
        <x:v>ALW</x:v>
      </x:c>
      <x:c r="E212" s="34" t="str">
        <x:v>Almost always</x:v>
      </x:c>
      <x:c r="F212" s="34" t="n">
        <x:v>4</x:v>
      </x:c>
      <x:c r="G212" s="41" t="b">
        <x:v>0</x:v>
      </x:c>
    </x:row>
    <x:row r="213">
      <x:c r="A213" s="33" t="str">
        <x:v>Q43</x:v>
      </x:c>
      <x:c r="B213" s="34" t="str">
        <x:v>CH</x:v>
      </x:c>
      <x:c r="C213" s="34" t="str">
        <x:v>FREQ</x:v>
      </x:c>
      <x:c r="D213" s="34" t="str">
        <x:v>NA</x:v>
      </x:c>
      <x:c r="E213" s="34" t="str">
        <x:v>Not applicable</x:v>
      </x:c>
      <x:c r="F213" s="34"/>
      <x:c r="G213" s="41" t="b">
        <x:v>1</x:v>
      </x:c>
    </x:row>
    <x:row r="214">
      <x:c r="A214" s="33" t="str">
        <x:v>Q44</x:v>
      </x:c>
      <x:c r="B214" s="34" t="str">
        <x:v>CH</x:v>
      </x:c>
      <x:c r="C214" s="34" t="str">
        <x:v>FREQ</x:v>
      </x:c>
      <x:c r="D214" s="34" t="str">
        <x:v>NVR</x:v>
      </x:c>
      <x:c r="E214" s="34" t="str">
        <x:v>Never</x:v>
      </x:c>
      <x:c r="F214" s="34" t="n">
        <x:v>0</x:v>
      </x:c>
      <x:c r="G214" s="41" t="b">
        <x:v>0</x:v>
      </x:c>
    </x:row>
    <x:row r="215">
      <x:c r="A215" s="33" t="str">
        <x:v>Q44</x:v>
      </x:c>
      <x:c r="B215" s="34" t="str">
        <x:v>CH</x:v>
      </x:c>
      <x:c r="C215" s="34" t="str">
        <x:v>FREQ</x:v>
      </x:c>
      <x:c r="D215" s="34" t="str">
        <x:v>RLY</x:v>
      </x:c>
      <x:c r="E215" s="34" t="str">
        <x:v>Rarely</x:v>
      </x:c>
      <x:c r="F215" s="34" t="n">
        <x:v>1</x:v>
      </x:c>
      <x:c r="G215" s="41" t="b">
        <x:v>0</x:v>
      </x:c>
    </x:row>
    <x:row r="216">
      <x:c r="A216" s="33" t="str">
        <x:v>Q44</x:v>
      </x:c>
      <x:c r="B216" s="34" t="str">
        <x:v>CH</x:v>
      </x:c>
      <x:c r="C216" s="34" t="str">
        <x:v>FREQ</x:v>
      </x:c>
      <x:c r="D216" s="34" t="str">
        <x:v>SMT</x:v>
      </x:c>
      <x:c r="E216" s="34" t="str">
        <x:v>Sometimes</x:v>
      </x:c>
      <x:c r="F216" s="34" t="n">
        <x:v>2</x:v>
      </x:c>
      <x:c r="G216" s="41" t="b">
        <x:v>0</x:v>
      </x:c>
    </x:row>
    <x:row r="217">
      <x:c r="A217" s="33" t="str">
        <x:v>Q44</x:v>
      </x:c>
      <x:c r="B217" s="34" t="str">
        <x:v>CH</x:v>
      </x:c>
      <x:c r="C217" s="34" t="str">
        <x:v>FREQ</x:v>
      </x:c>
      <x:c r="D217" s="34" t="str">
        <x:v>OFT</x:v>
      </x:c>
      <x:c r="E217" s="34" t="str">
        <x:v>Often</x:v>
      </x:c>
      <x:c r="F217" s="34" t="n">
        <x:v>3</x:v>
      </x:c>
      <x:c r="G217" s="41" t="b">
        <x:v>0</x:v>
      </x:c>
    </x:row>
    <x:row r="218">
      <x:c r="A218" s="33" t="str">
        <x:v>Q44</x:v>
      </x:c>
      <x:c r="B218" s="34" t="str">
        <x:v>CH</x:v>
      </x:c>
      <x:c r="C218" s="34" t="str">
        <x:v>FREQ</x:v>
      </x:c>
      <x:c r="D218" s="34" t="str">
        <x:v>ALW</x:v>
      </x:c>
      <x:c r="E218" s="34" t="str">
        <x:v>Almost always</x:v>
      </x:c>
      <x:c r="F218" s="34" t="n">
        <x:v>4</x:v>
      </x:c>
      <x:c r="G218" s="41" t="b">
        <x:v>0</x:v>
      </x:c>
    </x:row>
    <x:row r="219">
      <x:c r="A219" s="33" t="str">
        <x:v>Q44</x:v>
      </x:c>
      <x:c r="B219" s="34" t="str">
        <x:v>CH</x:v>
      </x:c>
      <x:c r="C219" s="34" t="str">
        <x:v>FREQ</x:v>
      </x:c>
      <x:c r="D219" s="34" t="str">
        <x:v>NA</x:v>
      </x:c>
      <x:c r="E219" s="34" t="str">
        <x:v>Not applicable</x:v>
      </x:c>
      <x:c r="F219" s="34"/>
      <x:c r="G219" s="41" t="b">
        <x:v>1</x:v>
      </x:c>
    </x:row>
    <x:row r="220">
      <x:c r="A220" s="33" t="str">
        <x:v>Q45</x:v>
      </x:c>
      <x:c r="B220" s="34" t="str">
        <x:v>CH</x:v>
      </x:c>
      <x:c r="C220" s="34" t="str">
        <x:v>FREQ</x:v>
      </x:c>
      <x:c r="D220" s="34" t="str">
        <x:v>NVR</x:v>
      </x:c>
      <x:c r="E220" s="34" t="str">
        <x:v>Never</x:v>
      </x:c>
      <x:c r="F220" s="34" t="n">
        <x:v>0</x:v>
      </x:c>
      <x:c r="G220" s="41" t="b">
        <x:v>0</x:v>
      </x:c>
    </x:row>
    <x:row r="221">
      <x:c r="A221" s="33" t="str">
        <x:v>Q45</x:v>
      </x:c>
      <x:c r="B221" s="34" t="str">
        <x:v>CH</x:v>
      </x:c>
      <x:c r="C221" s="34" t="str">
        <x:v>FREQ</x:v>
      </x:c>
      <x:c r="D221" s="34" t="str">
        <x:v>RLY</x:v>
      </x:c>
      <x:c r="E221" s="34" t="str">
        <x:v>Rarely</x:v>
      </x:c>
      <x:c r="F221" s="34" t="n">
        <x:v>1</x:v>
      </x:c>
      <x:c r="G221" s="41" t="b">
        <x:v>0</x:v>
      </x:c>
    </x:row>
    <x:row r="222">
      <x:c r="A222" s="33" t="str">
        <x:v>Q45</x:v>
      </x:c>
      <x:c r="B222" s="34" t="str">
        <x:v>CH</x:v>
      </x:c>
      <x:c r="C222" s="34" t="str">
        <x:v>FREQ</x:v>
      </x:c>
      <x:c r="D222" s="34" t="str">
        <x:v>SMT</x:v>
      </x:c>
      <x:c r="E222" s="34" t="str">
        <x:v>Sometimes</x:v>
      </x:c>
      <x:c r="F222" s="34" t="n">
        <x:v>2</x:v>
      </x:c>
      <x:c r="G222" s="41" t="b">
        <x:v>0</x:v>
      </x:c>
    </x:row>
    <x:row r="223">
      <x:c r="A223" s="33" t="str">
        <x:v>Q45</x:v>
      </x:c>
      <x:c r="B223" s="34" t="str">
        <x:v>CH</x:v>
      </x:c>
      <x:c r="C223" s="34" t="str">
        <x:v>FREQ</x:v>
      </x:c>
      <x:c r="D223" s="34" t="str">
        <x:v>OFT</x:v>
      </x:c>
      <x:c r="E223" s="34" t="str">
        <x:v>Often</x:v>
      </x:c>
      <x:c r="F223" s="34" t="n">
        <x:v>3</x:v>
      </x:c>
      <x:c r="G223" s="41" t="b">
        <x:v>0</x:v>
      </x:c>
    </x:row>
    <x:row r="224">
      <x:c r="A224" s="33" t="str">
        <x:v>Q45</x:v>
      </x:c>
      <x:c r="B224" s="34" t="str">
        <x:v>CH</x:v>
      </x:c>
      <x:c r="C224" s="34" t="str">
        <x:v>FREQ</x:v>
      </x:c>
      <x:c r="D224" s="34" t="str">
        <x:v>ALW</x:v>
      </x:c>
      <x:c r="E224" s="34" t="str">
        <x:v>Almost always</x:v>
      </x:c>
      <x:c r="F224" s="34" t="n">
        <x:v>4</x:v>
      </x:c>
      <x:c r="G224" s="41" t="b">
        <x:v>0</x:v>
      </x:c>
    </x:row>
    <x:row r="225">
      <x:c r="A225" s="33" t="str">
        <x:v>Q45</x:v>
      </x:c>
      <x:c r="B225" s="34" t="str">
        <x:v>CH</x:v>
      </x:c>
      <x:c r="C225" s="34" t="str">
        <x:v>FREQ</x:v>
      </x:c>
      <x:c r="D225" s="34" t="str">
        <x:v>NA</x:v>
      </x:c>
      <x:c r="E225" s="34" t="str">
        <x:v>Not applicable</x:v>
      </x:c>
      <x:c r="F225" s="34"/>
      <x:c r="G225" s="41" t="b">
        <x:v>1</x:v>
      </x:c>
    </x:row>
    <x:row r="226">
      <x:c r="A226" s="33" t="str">
        <x:v>Q49</x:v>
      </x:c>
      <x:c r="B226" s="34" t="str">
        <x:v>BS</x:v>
      </x:c>
      <x:c r="C226" s="34" t="str">
        <x:v>FREQ</x:v>
      </x:c>
      <x:c r="D226" s="34" t="str">
        <x:v>NVR</x:v>
      </x:c>
      <x:c r="E226" s="34" t="str">
        <x:v>Never</x:v>
      </x:c>
      <x:c r="F226" s="34" t="n">
        <x:v>0</x:v>
      </x:c>
      <x:c r="G226" s="41" t="b">
        <x:v>0</x:v>
      </x:c>
    </x:row>
    <x:row r="227">
      <x:c r="A227" s="33" t="str">
        <x:v>Q49</x:v>
      </x:c>
      <x:c r="B227" s="34" t="str">
        <x:v>BS</x:v>
      </x:c>
      <x:c r="C227" s="34" t="str">
        <x:v>FREQ</x:v>
      </x:c>
      <x:c r="D227" s="34" t="str">
        <x:v>RLY</x:v>
      </x:c>
      <x:c r="E227" s="34" t="str">
        <x:v>Rarely</x:v>
      </x:c>
      <x:c r="F227" s="34" t="n">
        <x:v>1</x:v>
      </x:c>
      <x:c r="G227" s="41" t="b">
        <x:v>0</x:v>
      </x:c>
    </x:row>
    <x:row r="228">
      <x:c r="A228" s="33" t="str">
        <x:v>Q49</x:v>
      </x:c>
      <x:c r="B228" s="34" t="str">
        <x:v>BS</x:v>
      </x:c>
      <x:c r="C228" s="34" t="str">
        <x:v>FREQ</x:v>
      </x:c>
      <x:c r="D228" s="34" t="str">
        <x:v>SMT</x:v>
      </x:c>
      <x:c r="E228" s="34" t="str">
        <x:v>Sometimes</x:v>
      </x:c>
      <x:c r="F228" s="34" t="n">
        <x:v>2</x:v>
      </x:c>
      <x:c r="G228" s="41" t="b">
        <x:v>0</x:v>
      </x:c>
    </x:row>
    <x:row r="229">
      <x:c r="A229" s="33" t="str">
        <x:v>Q49</x:v>
      </x:c>
      <x:c r="B229" s="34" t="str">
        <x:v>BS</x:v>
      </x:c>
      <x:c r="C229" s="34" t="str">
        <x:v>FREQ</x:v>
      </x:c>
      <x:c r="D229" s="34" t="str">
        <x:v>OFT</x:v>
      </x:c>
      <x:c r="E229" s="34" t="str">
        <x:v>Often</x:v>
      </x:c>
      <x:c r="F229" s="34" t="n">
        <x:v>3</x:v>
      </x:c>
      <x:c r="G229" s="41" t="b">
        <x:v>0</x:v>
      </x:c>
    </x:row>
    <x:row r="230">
      <x:c r="A230" s="33" t="str">
        <x:v>Q49</x:v>
      </x:c>
      <x:c r="B230" s="34" t="str">
        <x:v>BS</x:v>
      </x:c>
      <x:c r="C230" s="34" t="str">
        <x:v>FREQ</x:v>
      </x:c>
      <x:c r="D230" s="34" t="str">
        <x:v>ALW</x:v>
      </x:c>
      <x:c r="E230" s="34" t="str">
        <x:v>Almost always</x:v>
      </x:c>
      <x:c r="F230" s="34" t="n">
        <x:v>4</x:v>
      </x:c>
      <x:c r="G230" s="41" t="b">
        <x:v>0</x:v>
      </x:c>
    </x:row>
    <x:row r="231">
      <x:c r="A231" s="33" t="str">
        <x:v>Q49</x:v>
      </x:c>
      <x:c r="B231" s="34" t="str">
        <x:v>BS</x:v>
      </x:c>
      <x:c r="C231" s="34" t="str">
        <x:v>FREQ</x:v>
      </x:c>
      <x:c r="D231" s="34" t="str">
        <x:v>NA</x:v>
      </x:c>
      <x:c r="E231" s="34" t="str">
        <x:v>Not applicable</x:v>
      </x:c>
      <x:c r="F231" s="34"/>
      <x:c r="G231" s="41" t="b">
        <x:v>1</x:v>
      </x:c>
    </x:row>
    <x:row r="232">
      <x:c r="A232" s="33" t="str">
        <x:v>Q50</x:v>
      </x:c>
      <x:c r="B232" s="34" t="str">
        <x:v>BS</x:v>
      </x:c>
      <x:c r="C232" s="34" t="str">
        <x:v>FREQ</x:v>
      </x:c>
      <x:c r="D232" s="34" t="str">
        <x:v>NVR</x:v>
      </x:c>
      <x:c r="E232" s="34" t="str">
        <x:v>Never</x:v>
      </x:c>
      <x:c r="F232" s="34" t="n">
        <x:v>0</x:v>
      </x:c>
      <x:c r="G232" s="41" t="b">
        <x:v>0</x:v>
      </x:c>
    </x:row>
    <x:row r="233">
      <x:c r="A233" s="33" t="str">
        <x:v>Q50</x:v>
      </x:c>
      <x:c r="B233" s="34" t="str">
        <x:v>BS</x:v>
      </x:c>
      <x:c r="C233" s="34" t="str">
        <x:v>FREQ</x:v>
      </x:c>
      <x:c r="D233" s="34" t="str">
        <x:v>RLY</x:v>
      </x:c>
      <x:c r="E233" s="34" t="str">
        <x:v>Rarely</x:v>
      </x:c>
      <x:c r="F233" s="34" t="n">
        <x:v>1</x:v>
      </x:c>
      <x:c r="G233" s="41" t="b">
        <x:v>0</x:v>
      </x:c>
    </x:row>
    <x:row r="234">
      <x:c r="A234" s="33" t="str">
        <x:v>Q50</x:v>
      </x:c>
      <x:c r="B234" s="34" t="str">
        <x:v>BS</x:v>
      </x:c>
      <x:c r="C234" s="34" t="str">
        <x:v>FREQ</x:v>
      </x:c>
      <x:c r="D234" s="34" t="str">
        <x:v>SMT</x:v>
      </x:c>
      <x:c r="E234" s="34" t="str">
        <x:v>Sometimes</x:v>
      </x:c>
      <x:c r="F234" s="34" t="n">
        <x:v>2</x:v>
      </x:c>
      <x:c r="G234" s="41" t="b">
        <x:v>0</x:v>
      </x:c>
    </x:row>
    <x:row r="235">
      <x:c r="A235" s="33" t="str">
        <x:v>Q50</x:v>
      </x:c>
      <x:c r="B235" s="34" t="str">
        <x:v>BS</x:v>
      </x:c>
      <x:c r="C235" s="34" t="str">
        <x:v>FREQ</x:v>
      </x:c>
      <x:c r="D235" s="34" t="str">
        <x:v>OFT</x:v>
      </x:c>
      <x:c r="E235" s="34" t="str">
        <x:v>Often</x:v>
      </x:c>
      <x:c r="F235" s="34" t="n">
        <x:v>3</x:v>
      </x:c>
      <x:c r="G235" s="41" t="b">
        <x:v>0</x:v>
      </x:c>
    </x:row>
    <x:row r="236">
      <x:c r="A236" s="33" t="str">
        <x:v>Q50</x:v>
      </x:c>
      <x:c r="B236" s="34" t="str">
        <x:v>BS</x:v>
      </x:c>
      <x:c r="C236" s="34" t="str">
        <x:v>FREQ</x:v>
      </x:c>
      <x:c r="D236" s="34" t="str">
        <x:v>ALW</x:v>
      </x:c>
      <x:c r="E236" s="34" t="str">
        <x:v>Almost always</x:v>
      </x:c>
      <x:c r="F236" s="34" t="n">
        <x:v>4</x:v>
      </x:c>
      <x:c r="G236" s="41" t="b">
        <x:v>0</x:v>
      </x:c>
    </x:row>
    <x:row r="237">
      <x:c r="A237" s="33" t="str">
        <x:v>Q50</x:v>
      </x:c>
      <x:c r="B237" s="34" t="str">
        <x:v>BS</x:v>
      </x:c>
      <x:c r="C237" s="34" t="str">
        <x:v>FREQ</x:v>
      </x:c>
      <x:c r="D237" s="34" t="str">
        <x:v>NA</x:v>
      </x:c>
      <x:c r="E237" s="34" t="str">
        <x:v>Not applicable</x:v>
      </x:c>
      <x:c r="F237" s="34"/>
      <x:c r="G237" s="41" t="b">
        <x:v>1</x:v>
      </x:c>
    </x:row>
    <x:row r="238">
      <x:c r="A238" s="33" t="str">
        <x:v>Q51</x:v>
      </x:c>
      <x:c r="B238" s="34" t="str">
        <x:v>BS</x:v>
      </x:c>
      <x:c r="C238" s="34" t="str">
        <x:v>FREQ</x:v>
      </x:c>
      <x:c r="D238" s="34" t="str">
        <x:v>NVR</x:v>
      </x:c>
      <x:c r="E238" s="34" t="str">
        <x:v>Never</x:v>
      </x:c>
      <x:c r="F238" s="34" t="n">
        <x:v>0</x:v>
      </x:c>
      <x:c r="G238" s="41" t="b">
        <x:v>0</x:v>
      </x:c>
    </x:row>
    <x:row r="239">
      <x:c r="A239" s="33" t="str">
        <x:v>Q51</x:v>
      </x:c>
      <x:c r="B239" s="34" t="str">
        <x:v>BS</x:v>
      </x:c>
      <x:c r="C239" s="34" t="str">
        <x:v>FREQ</x:v>
      </x:c>
      <x:c r="D239" s="34" t="str">
        <x:v>RLY</x:v>
      </x:c>
      <x:c r="E239" s="34" t="str">
        <x:v>Rarely</x:v>
      </x:c>
      <x:c r="F239" s="34" t="n">
        <x:v>1</x:v>
      </x:c>
      <x:c r="G239" s="41" t="b">
        <x:v>0</x:v>
      </x:c>
    </x:row>
    <x:row r="240">
      <x:c r="A240" s="33" t="str">
        <x:v>Q51</x:v>
      </x:c>
      <x:c r="B240" s="34" t="str">
        <x:v>BS</x:v>
      </x:c>
      <x:c r="C240" s="34" t="str">
        <x:v>FREQ</x:v>
      </x:c>
      <x:c r="D240" s="34" t="str">
        <x:v>SMT</x:v>
      </x:c>
      <x:c r="E240" s="34" t="str">
        <x:v>Sometimes</x:v>
      </x:c>
      <x:c r="F240" s="34" t="n">
        <x:v>2</x:v>
      </x:c>
      <x:c r="G240" s="41" t="b">
        <x:v>0</x:v>
      </x:c>
    </x:row>
    <x:row r="241">
      <x:c r="A241" s="33" t="str">
        <x:v>Q51</x:v>
      </x:c>
      <x:c r="B241" s="34" t="str">
        <x:v>BS</x:v>
      </x:c>
      <x:c r="C241" s="34" t="str">
        <x:v>FREQ</x:v>
      </x:c>
      <x:c r="D241" s="34" t="str">
        <x:v>OFT</x:v>
      </x:c>
      <x:c r="E241" s="34" t="str">
        <x:v>Often</x:v>
      </x:c>
      <x:c r="F241" s="34" t="n">
        <x:v>3</x:v>
      </x:c>
      <x:c r="G241" s="41" t="b">
        <x:v>0</x:v>
      </x:c>
    </x:row>
    <x:row r="242">
      <x:c r="A242" s="33" t="str">
        <x:v>Q51</x:v>
      </x:c>
      <x:c r="B242" s="34" t="str">
        <x:v>BS</x:v>
      </x:c>
      <x:c r="C242" s="34" t="str">
        <x:v>FREQ</x:v>
      </x:c>
      <x:c r="D242" s="34" t="str">
        <x:v>ALW</x:v>
      </x:c>
      <x:c r="E242" s="34" t="str">
        <x:v>Almost always</x:v>
      </x:c>
      <x:c r="F242" s="34" t="n">
        <x:v>4</x:v>
      </x:c>
      <x:c r="G242" s="41" t="b">
        <x:v>0</x:v>
      </x:c>
    </x:row>
    <x:row r="243">
      <x:c r="A243" s="36" t="str">
        <x:v>Q51</x:v>
      </x:c>
      <x:c r="B243" s="37" t="str">
        <x:v>BS</x:v>
      </x:c>
      <x:c r="C243" s="37" t="str">
        <x:v>FREQ</x:v>
      </x:c>
      <x:c r="D243" s="37" t="str">
        <x:v>NA</x:v>
      </x:c>
      <x:c r="E243" s="37" t="str">
        <x:v>Not applicable</x:v>
      </x:c>
      <x:c r="F243" s="37"/>
      <x:c r="G243" s="42" t="b">
        <x:v>1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76" hidden="0" customWidth="1"/>
    <x:col min="4" max="4" width="58" hidden="0" customWidth="1"/>
    <x:col min="5" max="5" width="20" hidden="0" customWidth="1"/>
    <x:col min="6" max="6" width="60" hidden="0" customWidth="1"/>
  </x:cols>
  <x:sheetData>
    <x:row r="1" ht="30" customHeight="1">
      <x:c r="A1" s="27" t="str">
        <x:v>Canonical Formulas &amp; Null Rules</x:v>
      </x:c>
      <x:c r="B1" s="27"/>
      <x:c r="C1" s="27"/>
      <x:c r="D1" s="27"/>
      <x:c r="E1" s="27"/>
      <x:c r="F1" s="27"/>
    </x:row>
    <x:row r="2">
      <x:c r="A2" s="28" t="str">
        <x:v>Pseudocode is normative. BIO_STATE means Biological State™; BS remains exclusively the Biological Safety Signals™ domain ID. Use decimal arithmetic, finite-value checks and a calculation trace.</x:v>
      </x:c>
      <x:c r="B2" s="28"/>
      <x:c r="C2" s="28"/>
      <x:c r="D2" s="28"/>
      <x:c r="E2" s="28"/>
      <x:c r="F2" s="28"/>
    </x:row>
    <x:row r="3">
      <x:c r="A3" s="28"/>
      <x:c r="B3" s="28"/>
      <x:c r="C3" s="28"/>
      <x:c r="D3" s="28"/>
      <x:c r="E3" s="28"/>
      <x:c r="F3" s="28"/>
    </x:row>
    <x:row r="4">
      <x:c r="A4" s="29"/>
      <x:c r="B4" s="29"/>
      <x:c r="C4" s="29"/>
      <x:c r="D4" s="29"/>
      <x:c r="E4" s="29"/>
      <x:c r="F4" s="29"/>
    </x:row>
    <x:row r="5">
      <x:c r="A5" s="30" t="str">
        <x:v>rule_id</x:v>
      </x:c>
      <x:c r="B5" s="31" t="str">
        <x:v>output</x:v>
      </x:c>
      <x:c r="C5" s="31" t="str">
        <x:v>normative_formula</x:v>
      </x:c>
      <x:c r="D5" s="31" t="str">
        <x:v>null_or_boundary_rule</x:v>
      </x:c>
      <x:c r="E5" s="31" t="str">
        <x:v>rounding</x:v>
      </x:c>
      <x:c r="F5" s="32" t="str">
        <x:v>audit_fields</x:v>
      </x:c>
    </x:row>
    <x:row r="6">
      <x:c r="A6" s="33" t="str">
        <x:v>SC-001</x:v>
      </x:c>
      <x:c r="B6" s="34" t="str">
        <x:v>Domain score</x:v>
      </x:c>
      <x:c r="C6" s="34" t="str">
        <x:v>100 × Σ(points × weight) ÷ Σ(4 × weight), answered eligible items only</x:v>
      </x:c>
      <x:c r="D6" s="34" t="str">
        <x:v>N/A/missing excluded; null if answered/eligible &lt; 0.50</x:v>
      </x:c>
      <x:c r="E6" s="34" t="str">
        <x:v>Half away from zero to integer</x:v>
      </x:c>
      <x:c r="F6" s="35" t="str">
        <x:v>question IDs, raw option IDs, points, weights, numerator, denominator</x:v>
      </x:c>
    </x:row>
    <x:row r="7">
      <x:c r="A7" s="33" t="str">
        <x:v>SC-002</x:v>
      </x:c>
      <x:c r="B7" s="34" t="str">
        <x:v>Biological State™</x:v>
      </x:c>
      <x:c r="C7" s="34" t="str">
        <x:v>Mean of available seven domain scores</x:v>
      </x:c>
      <x:c r="D7" s="34" t="str">
        <x:v>Null if fewer than 5 domains available</x:v>
      </x:c>
      <x:c r="E7" s="34" t="str">
        <x:v>Half away from zero to integer</x:v>
      </x:c>
      <x:c r="F7" s="35" t="str">
        <x:v>available/null domains and mean</x:v>
      </x:c>
    </x:row>
    <x:row r="8">
      <x:c r="A8" s="33" t="str">
        <x:v>SC-003</x:v>
      </x:c>
      <x:c r="B8" s="34" t="str">
        <x:v>Opportunity Score™</x:v>
      </x:c>
      <x:c r="C8" s="34" t="str">
        <x:v>100 - (Biological State × 0.5)</x:v>
      </x:c>
      <x:c r="D8" s="34" t="str">
        <x:v>Null when Biological State is null; clamp 0-100</x:v>
      </x:c>
      <x:c r="E8" s="34" t="str">
        <x:v>One decimal</x:v>
      </x:c>
      <x:c r="F8" s="35" t="str">
        <x:v>Biological State and constant 0.5</x:v>
      </x:c>
    </x:row>
    <x:row r="9">
      <x:c r="A9" s="33" t="str">
        <x:v>SC-004</x:v>
      </x:c>
      <x:c r="B9" s="34" t="str">
        <x:v>Protective Factor Score</x:v>
      </x:c>
      <x:c r="C9" s="34" t="str">
        <x:v>20 × count of active P1-P5</x:v>
      </x:c>
      <x:c r="D9" s="34" t="str">
        <x:v>Count 0-5; no imputation</x:v>
      </x:c>
      <x:c r="E9" s="34" t="str">
        <x:v>Half away from zero to integer</x:v>
      </x:c>
      <x:c r="F9" s="35" t="str">
        <x:v>factor IDs and booleans</x:v>
      </x:c>
    </x:row>
    <x:row r="10">
      <x:c r="A10" s="33" t="str">
        <x:v>SC-005</x:v>
      </x:c>
      <x:c r="B10" s="34" t="str">
        <x:v>Recovery Potential™</x:v>
      </x:c>
      <x:c r="C10" s="34" t="str">
        <x:v>0.30×(100-BIO_STATE)+0.25×Protective+0.20×Age+0.15×Condition+0.10×Medication</x:v>
      </x:c>
      <x:c r="D10" s="34" t="str">
        <x:v>Null when Biological State is null; clamp 0-100</x:v>
      </x:c>
      <x:c r="E10" s="34" t="str">
        <x:v>One decimal</x:v>
      </x:c>
      <x:c r="F10" s="35" t="str">
        <x:v>BIO_STATE, all factor values and contributions</x:v>
      </x:c>
    </x:row>
    <x:row r="11">
      <x:c r="A11" s="33" t="str">
        <x:v>SC-006</x:v>
      </x:c>
      <x:c r="B11" s="34" t="str">
        <x:v>Coverage</x:v>
      </x:c>
      <x:c r="C11" s="34" t="str">
        <x:v>Answered scored items ÷ eligible scored items × 100</x:v>
      </x:c>
      <x:c r="D11" s="34" t="str">
        <x:v>N/A and missing count as not answered for confidence coverage</x:v>
      </x:c>
      <x:c r="E11" s="34" t="str">
        <x:v>Half away from zero to integer</x:v>
      </x:c>
      <x:c r="F11" s="35" t="str">
        <x:v>answered/eligible counts</x:v>
      </x:c>
    </x:row>
    <x:row r="12">
      <x:c r="A12" s="33" t="str">
        <x:v>SC-007</x:v>
      </x:c>
      <x:c r="B12" s="34" t="str">
        <x:v>Consistency by domain</x:v>
      </x:c>
      <x:c r="C12" s="34" t="str">
        <x:v>max(0,1-populationSD(points)/2) × 100</x:v>
      </x:c>
      <x:c r="D12" s="34" t="str">
        <x:v>Null when domain is null</x:v>
      </x:c>
      <x:c r="E12" s="34" t="str">
        <x:v>Half away from zero to integer</x:v>
      </x:c>
      <x:c r="F12" s="35" t="str">
        <x:v>points, mean, SD</x:v>
      </x:c>
    </x:row>
    <x:row r="13">
      <x:c r="A13" s="36" t="str">
        <x:v>SC-008</x:v>
      </x:c>
      <x:c r="B13" s="37" t="str">
        <x:v>ROOTS Confidence™</x:v>
      </x:c>
      <x:c r="C13" s="37" t="str">
        <x:v>0.50×overall coverage + 0.30×Q72 value + 0.20×mean available-domain consistency</x:v>
      </x:c>
      <x:c r="D13" s="37" t="str">
        <x:v>0 when no consistency; never changes scores</x:v>
      </x:c>
      <x:c r="E13" s="37" t="str">
        <x:v>Half away from zero to integer</x:v>
      </x:c>
      <x:c r="F13" s="38" t="str">
        <x:v>three components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70" hidden="0" customWidth="1"/>
    <x:col min="4" max="4" width="18" hidden="0" customWidth="1"/>
    <x:col min="5" max="5" width="24" hidden="0" customWidth="1"/>
    <x:col min="6" max="6" width="58" hidden="0" customWidth="1"/>
  </x:cols>
  <x:sheetData>
    <x:row r="1" ht="30" customHeight="1">
      <x:c r="A1" s="27" t="str">
        <x:v>Protective, Age, Condition &amp; Medication Factors</x:v>
      </x:c>
      <x:c r="B1" s="27"/>
      <x:c r="C1" s="27"/>
      <x:c r="D1" s="27"/>
      <x:c r="E1" s="27"/>
      <x:c r="F1" s="27"/>
    </x:row>
    <x:row r="2">
      <x:c r="A2" s="28" t="str">
        <x:v>These factors affect Recovery Potential only. They never alter domain scores or Biological State.</x:v>
      </x:c>
      <x:c r="B2" s="28"/>
      <x:c r="C2" s="28"/>
      <x:c r="D2" s="28"/>
      <x:c r="E2" s="28"/>
      <x:c r="F2" s="28"/>
    </x:row>
    <x:row r="3">
      <x:c r="A3" s="28"/>
      <x:c r="B3" s="28"/>
      <x:c r="C3" s="28"/>
      <x:c r="D3" s="28"/>
      <x:c r="E3" s="28"/>
      <x:c r="F3" s="28"/>
    </x:row>
    <x:row r="4">
      <x:c r="A4" s="29"/>
      <x:c r="B4" s="29"/>
      <x:c r="C4" s="29"/>
      <x:c r="D4" s="29"/>
      <x:c r="E4" s="29"/>
      <x:c r="F4" s="29"/>
    </x:row>
    <x:row r="5">
      <x:c r="A5" s="30" t="str">
        <x:v>factor_id</x:v>
      </x:c>
      <x:c r="B5" s="31" t="str">
        <x:v>source</x:v>
      </x:c>
      <x:c r="C5" s="31" t="str">
        <x:v>activation/value rule</x:v>
      </x:c>
      <x:c r="D5" s="31" t="str">
        <x:v>output_value</x:v>
      </x:c>
      <x:c r="E5" s="31" t="str">
        <x:v>purpose</x:v>
      </x:c>
      <x:c r="F5" s="32" t="str">
        <x:v>notes</x:v>
      </x:c>
    </x:row>
    <x:row r="6">
      <x:c r="A6" s="33" t="str">
        <x:v>P1</x:v>
      </x:c>
      <x:c r="B6" s="34" t="str">
        <x:v>Q46/Q47</x:v>
      </x:c>
      <x:c r="C6" s="34" t="str">
        <x:v>Activity ≥3 days/week AND usual duration ≥30 minutes</x:v>
      </x:c>
      <x:c r="D6" s="34" t="n">
        <x:v>20</x:v>
      </x:c>
      <x:c r="E6" s="34" t="str">
        <x:v>Protective score</x:v>
      </x:c>
      <x:c r="F6" s="35" t="str">
        <x:v>Use option IDs D3_4/D5_7 and M30_59/M60_PLUS</x:v>
      </x:c>
    </x:row>
    <x:row r="7">
      <x:c r="A7" s="33" t="str">
        <x:v>P2</x:v>
      </x:c>
      <x:c r="B7" s="34" t="str">
        <x:v>Q64</x:v>
      </x:c>
      <x:c r="C7" s="34" t="str">
        <x:v>Often or Almost always</x:v>
      </x:c>
      <x:c r="D7" s="34" t="n">
        <x:v>20</x:v>
      </x:c>
      <x:c r="E7" s="34" t="str">
        <x:v>Protective score</x:v>
      </x:c>
      <x:c r="F7" s="35" t="str">
        <x:v>Meal timing consistency</x:v>
      </x:c>
    </x:row>
    <x:row r="8">
      <x:c r="A8" s="33" t="str">
        <x:v>P3</x:v>
      </x:c>
      <x:c r="B8" s="34" t="str">
        <x:v>Q65</x:v>
      </x:c>
      <x:c r="C8" s="34" t="str">
        <x:v>Supportive or Very supportive</x:v>
      </x:c>
      <x:c r="D8" s="34" t="n">
        <x:v>20</x:v>
      </x:c>
      <x:c r="E8" s="34" t="str">
        <x:v>Protective score</x:v>
      </x:c>
      <x:c r="F8" s="35" t="str">
        <x:v>Home environment</x:v>
      </x:c>
    </x:row>
    <x:row r="9">
      <x:c r="A9" s="33" t="str">
        <x:v>P4</x:v>
      </x:c>
      <x:c r="B9" s="34" t="str">
        <x:v>Q61</x:v>
      </x:c>
      <x:c r="C9" s="34" t="str">
        <x:v>Never or Former use</x:v>
      </x:c>
      <x:c r="D9" s="34" t="n">
        <x:v>20</x:v>
      </x:c>
      <x:c r="E9" s="34" t="str">
        <x:v>Protective score</x:v>
      </x:c>
      <x:c r="F9" s="35" t="str">
        <x:v>Nicotine context</x:v>
      </x:c>
    </x:row>
    <x:row r="10">
      <x:c r="A10" s="33" t="str">
        <x:v>P5</x:v>
      </x:c>
      <x:c r="B10" s="34" t="str">
        <x:v>Q69</x:v>
      </x:c>
      <x:c r="C10" s="34" t="str">
        <x:v>Readiness 7-10</x:v>
      </x:c>
      <x:c r="D10" s="34" t="n">
        <x:v>20</x:v>
      </x:c>
      <x:c r="E10" s="34" t="str">
        <x:v>Protective score</x:v>
      </x:c>
      <x:c r="F10" s="35" t="str">
        <x:v>Readiness</x:v>
      </x:c>
    </x:row>
    <x:row r="11">
      <x:c r="A11" s="33" t="str">
        <x:v>AGE</x:v>
      </x:c>
      <x:c r="B11" s="34" t="str">
        <x:v>Q1</x:v>
      </x:c>
      <x:c r="C11" s="34" t="str">
        <x:v>16-30=100; 31-45=80; 46-60=60; 61-75=40; 76-110=20</x:v>
      </x:c>
      <x:c r="D11" s="34" t="str">
        <x:v>Band value</x:v>
      </x:c>
      <x:c r="E11" s="34" t="str">
        <x:v>Recovery Potential</x:v>
      </x:c>
      <x:c r="F11" s="35" t="str">
        <x:v>16-17 uses 18-30 band if participation is enabled</x:v>
      </x:c>
    </x:row>
    <x:row r="12">
      <x:c r="A12" s="33" t="str">
        <x:v>CONDITION</x:v>
      </x:c>
      <x:c r="B12" s="34" t="str">
        <x:v>Q13</x:v>
      </x:c>
      <x:c r="C12" s="34" t="str">
        <x:v>None=100; one category=75; two=50; three or more=25</x:v>
      </x:c>
      <x:c r="D12" s="34" t="str">
        <x:v>Band value</x:v>
      </x:c>
      <x:c r="E12" s="34" t="str">
        <x:v>Recovery Potential</x:v>
      </x:c>
      <x:c r="F12" s="35" t="str">
        <x:v>PREFER_NOT/NA treated as unavailable and sets Recovery Potential limitation flag</x:v>
      </x:c>
    </x:row>
    <x:row r="13">
      <x:c r="A13" s="36" t="str">
        <x:v>MEDICATION</x:v>
      </x:c>
      <x:c r="B13" s="37" t="str">
        <x:v>Q14</x:v>
      </x:c>
      <x:c r="C13" s="37" t="str">
        <x:v>None=100; one category=75; two or more=50</x:v>
      </x:c>
      <x:c r="D13" s="37" t="str">
        <x:v>Band value</x:v>
      </x:c>
      <x:c r="E13" s="37" t="str">
        <x:v>Recovery Potential</x:v>
      </x:c>
      <x:c r="F13" s="38" t="str">
        <x:v>UNSURE/PREFER_NOT/NA sets limitation flag; no medication advice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4" hidden="0" customWidth="1"/>
    <x:col min="5" max="5" width="16" hidden="0" customWidth="1"/>
    <x:col min="6" max="6" width="62" hidden="0" customWidth="1"/>
  </x:cols>
  <x:sheetData>
    <x:row r="1" ht="30" customHeight="1">
      <x:c r="A1" s="27" t="str">
        <x:v>Non-overlapping Classification Boundaries</x:v>
      </x:c>
      <x:c r="B1" s="27"/>
      <x:c r="C1" s="27"/>
      <x:c r="D1" s="27"/>
      <x:c r="E1" s="27"/>
      <x:c r="F1" s="27"/>
    </x:row>
    <x:row r="2">
      <x:c r="A2" s="28" t="str">
        <x:v>Bounds are inclusive. Labels and thresholds are canonical scoring outputs. color_hex values are semantic references only, not final UI tokens; final presentation is governed by the approved ROOTS-AI Visual Direction and written-approved Golden Screen.</x:v>
      </x:c>
      <x:c r="B2" s="28"/>
      <x:c r="C2" s="28"/>
      <x:c r="D2" s="28"/>
      <x:c r="E2" s="28"/>
      <x:c r="F2" s="28"/>
    </x:row>
    <x:row r="3">
      <x:c r="A3" s="28"/>
      <x:c r="B3" s="28"/>
      <x:c r="C3" s="28"/>
      <x:c r="D3" s="28"/>
      <x:c r="E3" s="28"/>
      <x:c r="F3" s="28"/>
    </x:row>
    <x:row r="4">
      <x:c r="A4" s="29"/>
      <x:c r="B4" s="29"/>
      <x:c r="C4" s="29"/>
      <x:c r="D4" s="29"/>
      <x:c r="E4" s="29"/>
      <x:c r="F4" s="29"/>
    </x:row>
    <x:row r="5">
      <x:c r="A5" s="30" t="str">
        <x:v>scale</x:v>
      </x:c>
      <x:c r="B5" s="31" t="str">
        <x:v>minimum</x:v>
      </x:c>
      <x:c r="C5" s="31" t="str">
        <x:v>maximum</x:v>
      </x:c>
      <x:c r="D5" s="31" t="str">
        <x:v>label</x:v>
      </x:c>
      <x:c r="E5" s="31" t="str">
        <x:v>color_hex</x:v>
      </x:c>
      <x:c r="F5" s="32" t="str">
        <x:v>approved_interpretation</x:v>
      </x:c>
    </x:row>
    <x:row r="6">
      <x:c r="A6" s="33" t="str">
        <x:v>DOMAIN</x:v>
      </x:c>
      <x:c r="B6" s="34" t="n">
        <x:v>0</x:v>
      </x:c>
      <x:c r="C6" s="34" t="n">
        <x:v>24</x:v>
      </x:c>
      <x:c r="D6" s="34" t="str">
        <x:v>Optimized</x:v>
      </x:c>
      <x:c r="E6" s="34" t="str">
        <x:v>#27AE60</x:v>
      </x:c>
      <x:c r="F6" s="35" t="str">
        <x:v>Lower reported burden</x:v>
      </x:c>
    </x:row>
    <x:row r="7">
      <x:c r="A7" s="33" t="str">
        <x:v>DOMAIN</x:v>
      </x:c>
      <x:c r="B7" s="34" t="n">
        <x:v>25</x:v>
      </x:c>
      <x:c r="C7" s="34" t="n">
        <x:v>49</x:v>
      </x:c>
      <x:c r="D7" s="34" t="str">
        <x:v>Compensating</x:v>
      </x:c>
      <x:c r="E7" s="34" t="str">
        <x:v>#F39C12</x:v>
      </x:c>
      <x:c r="F7" s="35" t="str">
        <x:v>Signals present; compensation appears active</x:v>
      </x:c>
    </x:row>
    <x:row r="8">
      <x:c r="A8" s="33" t="str">
        <x:v>DOMAIN</x:v>
      </x:c>
      <x:c r="B8" s="34" t="n">
        <x:v>50</x:v>
      </x:c>
      <x:c r="C8" s="34" t="n">
        <x:v>74</x:v>
      </x:c>
      <x:c r="D8" s="34" t="str">
        <x:v>Strained</x:v>
      </x:c>
      <x:c r="E8" s="34" t="str">
        <x:v>#E67E22</x:v>
      </x:c>
      <x:c r="F8" s="35" t="str">
        <x:v>Multiple or frequent signals</x:v>
      </x:c>
    </x:row>
    <x:row r="9">
      <x:c r="A9" s="33" t="str">
        <x:v>DOMAIN</x:v>
      </x:c>
      <x:c r="B9" s="34" t="n">
        <x:v>75</x:v>
      </x:c>
      <x:c r="C9" s="34" t="n">
        <x:v>100</x:v>
      </x:c>
      <x:c r="D9" s="34" t="str">
        <x:v>Dysregulated</x:v>
      </x:c>
      <x:c r="E9" s="34" t="str">
        <x:v>#C0392B</x:v>
      </x:c>
      <x:c r="F9" s="35" t="str">
        <x:v>High reported burden; educational prompt to seek appropriate support</x:v>
      </x:c>
    </x:row>
    <x:row r="10">
      <x:c r="A10" s="33" t="str">
        <x:v>CONFIDENCE</x:v>
      </x:c>
      <x:c r="B10" s="34" t="n">
        <x:v>80</x:v>
      </x:c>
      <x:c r="C10" s="34" t="n">
        <x:v>100</x:v>
      </x:c>
      <x:c r="D10" s="34" t="str">
        <x:v>High</x:v>
      </x:c>
      <x:c r="E10" s="34" t="str">
        <x:v>#27AE60</x:v>
      </x:c>
      <x:c r="F10" s="35" t="str">
        <x:v>Strong data completeness and consistency</x:v>
      </x:c>
    </x:row>
    <x:row r="11">
      <x:c r="A11" s="33" t="str">
        <x:v>CONFIDENCE</x:v>
      </x:c>
      <x:c r="B11" s="34" t="n">
        <x:v>60</x:v>
      </x:c>
      <x:c r="C11" s="34" t="n">
        <x:v>79</x:v>
      </x:c>
      <x:c r="D11" s="34" t="str">
        <x:v>Moderate-High</x:v>
      </x:c>
      <x:c r="E11" s="34" t="str">
        <x:v>#F39C12</x:v>
      </x:c>
      <x:c r="F11" s="35" t="str">
        <x:v>Good data with some limitations</x:v>
      </x:c>
    </x:row>
    <x:row r="12">
      <x:c r="A12" s="33" t="str">
        <x:v>CONFIDENCE</x:v>
      </x:c>
      <x:c r="B12" s="34" t="n">
        <x:v>40</x:v>
      </x:c>
      <x:c r="C12" s="34" t="n">
        <x:v>59</x:v>
      </x:c>
      <x:c r="D12" s="34" t="str">
        <x:v>Moderate</x:v>
      </x:c>
      <x:c r="E12" s="34" t="str">
        <x:v>#E67E22</x:v>
      </x:c>
      <x:c r="F12" s="35" t="str">
        <x:v>Interpret cautiously</x:v>
      </x:c>
    </x:row>
    <x:row r="13">
      <x:c r="A13" s="33" t="str">
        <x:v>CONFIDENCE</x:v>
      </x:c>
      <x:c r="B13" s="34" t="n">
        <x:v>0</x:v>
      </x:c>
      <x:c r="C13" s="34" t="n">
        <x:v>39</x:v>
      </x:c>
      <x:c r="D13" s="34" t="str">
        <x:v>Low</x:v>
      </x:c>
      <x:c r="E13" s="34" t="str">
        <x:v>#C0392B</x:v>
      </x:c>
      <x:c r="F13" s="35" t="str">
        <x:v>Substantial limitations</x:v>
      </x:c>
    </x:row>
    <x:row r="14">
      <x:c r="A14" s="33" t="str">
        <x:v>RECOVERY</x:v>
      </x:c>
      <x:c r="B14" s="34" t="n">
        <x:v>75</x:v>
      </x:c>
      <x:c r="C14" s="34" t="n">
        <x:v>100</x:v>
      </x:c>
      <x:c r="D14" s="34" t="str">
        <x:v>High</x:v>
      </x:c>
      <x:c r="E14" s="34" t="str">
        <x:v>#27AE60</x:v>
      </x:c>
      <x:c r="F14" s="35" t="str">
        <x:v>Many modifiable/protective features</x:v>
      </x:c>
    </x:row>
    <x:row r="15">
      <x:c r="A15" s="33" t="str">
        <x:v>RECOVERY</x:v>
      </x:c>
      <x:c r="B15" s="34" t="n">
        <x:v>50</x:v>
      </x:c>
      <x:c r="C15" s="34" t="n">
        <x:v>74</x:v>
      </x:c>
      <x:c r="D15" s="34" t="str">
        <x:v>Moderate</x:v>
      </x:c>
      <x:c r="E15" s="34" t="str">
        <x:v>#F39C12</x:v>
      </x:c>
      <x:c r="F15" s="35" t="str">
        <x:v>Meaningful recovery opportunities</x:v>
      </x:c>
    </x:row>
    <x:row r="16">
      <x:c r="A16" s="33" t="str">
        <x:v>RECOVERY</x:v>
      </x:c>
      <x:c r="B16" s="34" t="n">
        <x:v>25</x:v>
      </x:c>
      <x:c r="C16" s="34" t="n">
        <x:v>49</x:v>
      </x:c>
      <x:c r="D16" s="34" t="str">
        <x:v>Limited</x:v>
      </x:c>
      <x:c r="E16" s="34" t="str">
        <x:v>#E67E22</x:v>
      </x:c>
      <x:c r="F16" s="35" t="str">
        <x:v>Progress may require more support</x:v>
      </x:c>
    </x:row>
    <x:row r="17">
      <x:c r="A17" s="36" t="str">
        <x:v>RECOVERY</x:v>
      </x:c>
      <x:c r="B17" s="37" t="n">
        <x:v>0</x:v>
      </x:c>
      <x:c r="C17" s="37" t="n">
        <x:v>24</x:v>
      </x:c>
      <x:c r="D17" s="37" t="str">
        <x:v>Low</x:v>
      </x:c>
      <x:c r="E17" s="37" t="str">
        <x:v>#C0392B</x:v>
      </x:c>
      <x:c r="F17" s="38" t="str">
        <x:v>Educational prompt for professional support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78" hidden="0" customWidth="1"/>
    <x:col min="4" max="4" width="28" hidden="0" customWidth="1"/>
    <x:col min="5" max="5" width="50" hidden="0" customWidth="1"/>
    <x:col min="6" max="6" width="40" hidden="0" customWidth="1"/>
  </x:cols>
  <x:sheetData>
    <x:row r="1" ht="30" customHeight="1">
      <x:c r="A1" s="27" t="str">
        <x:v>Drivers, Evidence &amp; Confidence Rules</x:v>
      </x:c>
      <x:c r="B1" s="27"/>
      <x:c r="C1" s="27"/>
      <x:c r="D1" s="27"/>
      <x:c r="E1" s="27"/>
      <x:c r="F1" s="27"/>
    </x:row>
    <x:row r="2">
      <x:c r="A2" s="28" t="str">
        <x:v>Driver selection is deterministic. The LLM may explain only the selected outputs.</x:v>
      </x:c>
      <x:c r="B2" s="28"/>
      <x:c r="C2" s="28"/>
      <x:c r="D2" s="28"/>
      <x:c r="E2" s="28"/>
      <x:c r="F2" s="28"/>
    </x:row>
    <x:row r="3">
      <x:c r="A3" s="28"/>
      <x:c r="B3" s="28"/>
      <x:c r="C3" s="28"/>
      <x:c r="D3" s="28"/>
      <x:c r="E3" s="28"/>
      <x:c r="F3" s="28"/>
    </x:row>
    <x:row r="4">
      <x:c r="A4" s="29"/>
      <x:c r="B4" s="29"/>
      <x:c r="C4" s="29"/>
      <x:c r="D4" s="29"/>
      <x:c r="E4" s="29"/>
      <x:c r="F4" s="29"/>
    </x:row>
    <x:row r="5">
      <x:c r="A5" s="30" t="str">
        <x:v>rule_id</x:v>
      </x:c>
      <x:c r="B5" s="31" t="str">
        <x:v>subject</x:v>
      </x:c>
      <x:c r="C5" s="31" t="str">
        <x:v>deterministic rule</x:v>
      </x:c>
      <x:c r="D5" s="31" t="str">
        <x:v>output</x:v>
      </x:c>
      <x:c r="E5" s="31" t="str">
        <x:v>tie_or_fallback</x:v>
      </x:c>
      <x:c r="F5" s="32" t="str">
        <x:v>audit requirement</x:v>
      </x:c>
    </x:row>
    <x:row r="6">
      <x:c r="A6" s="33" t="str">
        <x:v>DRV-001</x:v>
      </x:c>
      <x:c r="B6" s="34" t="str">
        <x:v>Driver eligibility</x:v>
      </x:c>
      <x:c r="C6" s="34" t="str">
        <x:v>Available domain score ≥25</x:v>
      </x:c>
      <x:c r="D6" s="34" t="str">
        <x:v>Eligible</x:v>
      </x:c>
      <x:c r="E6" s="34" t="str">
        <x:v>Scores &lt;25 are not drivers</x:v>
      </x:c>
      <x:c r="F6" s="35" t="str">
        <x:v>Record all candidates</x:v>
      </x:c>
    </x:row>
    <x:row r="7">
      <x:c r="A7" s="33" t="str">
        <x:v>DRV-002</x:v>
      </x:c>
      <x:c r="B7" s="34" t="str">
        <x:v>Ranking</x:v>
      </x:c>
      <x:c r="C7" s="34" t="str">
        <x:v>Sort eligible domains by score descending; exact ties use fixed order MR,HS,SR,CH,SL,IB,BS</x:v>
      </x:c>
      <x:c r="D7" s="34" t="str">
        <x:v>Primary/secondary/tertiary</x:v>
      </x:c>
      <x:c r="E7" s="34" t="str">
        <x:v>No LLM selection; null/&lt;25 domains excluded</x:v>
      </x:c>
      <x:c r="F7" s="35" t="str">
        <x:v>Record ordered list</x:v>
      </x:c>
    </x:row>
    <x:row r="8">
      <x:c r="A8" s="33" t="str">
        <x:v>DRV-003</x:v>
      </x:c>
      <x:c r="B8" s="34" t="str">
        <x:v>Co-primary</x:v>
      </x:c>
      <x:c r="C8" s="34" t="str">
        <x:v>If top two eligible scores differ by ≤3, report them once as one co-primary pair</x:v>
      </x:c>
      <x:c r="D8" s="34" t="str">
        <x:v>Co-primary pair, then next highest-ranked distinct eligible domain if one exists</x:v>
      </x:c>
      <x:c r="E8" s="34" t="str">
        <x:v>No duplication; no ineligible fallback; preserve canonical tie order</x:v>
      </x:c>
      <x:c r="F8" s="35" t="str">
        <x:v>Record tie delta</x:v>
      </x:c>
    </x:row>
    <x:row r="9">
      <x:c r="A9" s="33" t="str">
        <x:v>DRV-004</x:v>
      </x:c>
      <x:c r="B9" s="34" t="str">
        <x:v>No dominant burden</x:v>
      </x:c>
      <x:c r="C9" s="34" t="str">
        <x:v>No domain ≥25</x:v>
      </x:c>
      <x:c r="D9" s="34" t="str">
        <x:v>No primary driver</x:v>
      </x:c>
      <x:c r="E9" s="34" t="str">
        <x:v>Display strengths-focused copy</x:v>
      </x:c>
      <x:c r="F9" s="35" t="str">
        <x:v>Record reason</x:v>
      </x:c>
    </x:row>
    <x:row r="10">
      <x:c r="A10" s="33" t="str">
        <x:v>EVD-001</x:v>
      </x:c>
      <x:c r="B10" s="34" t="str">
        <x:v>Evidence score</x:v>
      </x:c>
      <x:c r="C10" s="34" t="str">
        <x:v>0.45×domain coverage + 0.35×domain consistency + 0.20×high-signal proportion</x:v>
      </x:c>
      <x:c r="D10" s="34" t="str">
        <x:v>0-100</x:v>
      </x:c>
      <x:c r="E10" s="34" t="str">
        <x:v>High-signal means points ≥3</x:v>
      </x:c>
      <x:c r="F10" s="35" t="str">
        <x:v>Trace components</x:v>
      </x:c>
    </x:row>
    <x:row r="11">
      <x:c r="A11" s="33" t="str">
        <x:v>EVD-002</x:v>
      </x:c>
      <x:c r="B11" s="34" t="str">
        <x:v>Evidence label</x:v>
      </x:c>
      <x:c r="C11" s="34" t="str">
        <x:v>80-100 Strong; 60-79 Moderate; 40-59 Limited; 0-39 Weak</x:v>
      </x:c>
      <x:c r="D11" s="34" t="str">
        <x:v>Label</x:v>
      </x:c>
      <x:c r="E11" s="34" t="str">
        <x:v>Not clinical evidence grade</x:v>
      </x:c>
      <x:c r="F11" s="35" t="str">
        <x:v>Record boundary</x:v>
      </x:c>
    </x:row>
    <x:row r="12">
      <x:c r="A12" s="36" t="str">
        <x:v>CNF-001</x:v>
      </x:c>
      <x:c r="B12" s="37" t="str">
        <x:v>Confidence</x:v>
      </x:c>
      <x:c r="C12" s="37" t="str">
        <x:v>Formula SC-008</x:v>
      </x:c>
      <x:c r="D12" s="37" t="str">
        <x:v>High/Moderate-High/Moderate/Low</x:v>
      </x:c>
      <x:c r="E12" s="37" t="str">
        <x:v>Never modifies scores</x:v>
      </x:c>
      <x:c r="F12" s="38" t="str">
        <x:v>Trace components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95" hidden="0" customWidth="1"/>
    <x:col min="4" max="4" width="110" hidden="0" customWidth="1"/>
  </x:cols>
  <x:sheetData>
    <x:row r="1" ht="30" customHeight="1">
      <x:c r="A1" s="27" t="str">
        <x:v>Golden Test Pack — 30 Deterministic Cases</x:v>
      </x:c>
      <x:c r="B1" s="27"/>
      <x:c r="C1" s="27"/>
      <x:c r="D1" s="27"/>
    </x:row>
    <x:row r="2">
      <x:c r="A2" s="28" t="str">
        <x:v>Inputs are normalized burden points after option mapping. The expected JSON is generated from the normative v1.0.1 reference implementation and must match exactly.</x:v>
      </x:c>
      <x:c r="B2" s="28"/>
      <x:c r="C2" s="28"/>
      <x:c r="D2" s="28"/>
    </x:row>
    <x:row r="3">
      <x:c r="A3" s="28"/>
      <x:c r="B3" s="28"/>
      <x:c r="C3" s="28"/>
      <x:c r="D3" s="28"/>
    </x:row>
    <x:row r="4">
      <x:c r="A4" s="29"/>
      <x:c r="B4" s="29"/>
      <x:c r="C4" s="29"/>
      <x:c r="D4" s="29"/>
    </x:row>
    <x:row r="5">
      <x:c r="A5" s="30" t="str">
        <x:v>test_id</x:v>
      </x:c>
      <x:c r="B5" s="31" t="str">
        <x:v>purpose</x:v>
      </x:c>
      <x:c r="C5" s="31" t="str">
        <x:v>normalized_input_json</x:v>
      </x:c>
      <x:c r="D5" s="32" t="str">
        <x:v>expected_output_json</x:v>
      </x:c>
    </x:row>
    <x:row r="6">
      <x:c r="A6" s="33" t="str">
        <x:v>GT-001</x:v>
      </x:c>
      <x:c r="B6" s="34" t="str">
        <x:v>All scored items at minimum burden</x:v>
      </x:c>
      <x:c r="C6" s="34" t="str">
        <x:v>{"age":40,"diseaseCount":0,"medicationCount":0,"P1":true,"P2":true,"P3":true,"P4":true,"P5":true,"answerConfidence":75,"Q9":0,"Q10":0,"Q11":0,"Q12":0,"Q46":0,"Q47":0,"Q48":0,"Q16":0,"Q17":0,"Q18":0,"Q19":0,"Q20":0,"Q21":0,"Q22":0,"Q23":0,"Q24":0,"Q25":0,"Q26":0,"Q27":0,"Q28":0,"Q29":0,"Q30":0,"Q31":0,"Q32":0,"Q33":0,"Q34":0,"Q35":0,"Q36":0,"Q37":0,"Q38":0,"Q39":0,"Q40":0,"Q41":0,"Q42":0,"Q43":0,"Q44":0,"Q45":0,"Q49":0,"Q50":0,"Q51":0}</x:v>
      </x:c>
      <x:c r="D6" s="35" t="str">
        <x:v>{"domains":{"MR":0,"SR":0,"HS":0,"SL":0,"IB":0,"CH":0,"BS":0},"coverage":{"MR":1,"SR":1,"HS":1,"SL":1,"IB":1,"CH":1,"BS":1},"biological_state":0,"opportunity":100,"recovery_potential":96,"protective_count":5,"confidence":93,"drivers":[]}</x:v>
      </x:c>
    </x:row>
    <x:row r="7">
      <x:c r="A7" s="33" t="str">
        <x:v>GT-002</x:v>
      </x:c>
      <x:c r="B7" s="34" t="str">
        <x:v>All scored items at maximum burden</x:v>
      </x:c>
      <x:c r="C7" s="34" t="str">
        <x:v>{"age":40,"diseaseCount":0,"medicationCount":0,"P1":true,"P2":true,"P3":true,"P4":true,"P5":true,"answerConfidence":75,"Q9":4,"Q10":4,"Q11":4,"Q12":4,"Q46":4,"Q47":4,"Q48":4,"Q16":4,"Q17":4,"Q18":4,"Q19":4,"Q20":4,"Q21":4,"Q22":4,"Q23":4,"Q24":4,"Q25":4,"Q26":4,"Q27":4,"Q28":4,"Q29":4,"Q30":4,"Q31":4,"Q32":4,"Q33":4,"Q34":4,"Q35":4,"Q36":4,"Q37":4,"Q38":4,"Q39":4,"Q40":4,"Q41":4,"Q42":4,"Q43":4,"Q44":4,"Q45":4,"Q49":4,"Q50":4,"Q51":4}</x:v>
      </x:c>
      <x:c r="D7" s="35" t="str">
        <x:v>{"domains":{"MR":100,"SR":100,"HS":100,"SL":100,"IB":100,"CH":100,"BS":100},"coverage":{"MR":1,"SR":1,"HS":1,"SL":1,"IB":1,"CH":1,"BS":1},"biological_state":100,"opportunity":50,"recovery_potential":66,"protective_count":5,"confidence":93,"drivers":["MR+HS co-primary","SR"]}</x:v>
      </x:c>
    </x:row>
    <x:row r="8">
      <x:c r="A8" s="33" t="str">
        <x:v>GT-003</x:v>
      </x:c>
      <x:c r="B8" s="34" t="str">
        <x:v>All scored items at midpoint</x:v>
      </x:c>
      <x:c r="C8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2,"Q27":2,"Q28":2,"Q29":2,"Q30":2,"Q31":2,"Q32":2,"Q33":2,"Q34":2,"Q35":2,"Q36":2,"Q37":2,"Q38":2,"Q39":2,"Q40":2,"Q41":2,"Q42":2,"Q43":2,"Q44":2,"Q45":2,"Q49":2,"Q50":2,"Q51":2}</x:v>
      </x:c>
      <x:c r="D8" s="35" t="str">
        <x:v>{"domains":{"MR":50,"SR":50,"HS":50,"SL":50,"IB":50,"CH":50,"BS":50},"coverage":{"MR":1,"SR":1,"HS":1,"SL":1,"IB":1,"CH":1,"BS":1},"biological_state":50,"opportunity":75,"recovery_potential":81,"protective_count":5,"confidence":93,"drivers":["MR+HS co-primary","SR"]}</x:v>
      </x:c>
    </x:row>
    <x:row r="9">
      <x:c r="A9" s="33" t="str">
        <x:v>GT-004</x:v>
      </x:c>
      <x:c r="B9" s="34" t="str">
        <x:v>MR only at maximum</x:v>
      </x:c>
      <x:c r="C9" s="34" t="str">
        <x:v>{"age":40,"diseaseCount":0,"medicationCount":0,"P1":true,"P2":true,"P3":true,"P4":true,"P5":true,"answerConfidence":75,"Q9":4,"Q10":4,"Q11":4,"Q12":4,"Q46":4,"Q47":4,"Q48":4,"Q16":0,"Q17":0,"Q18":0,"Q19":0,"Q20":0,"Q21":0,"Q22":0,"Q23":0,"Q24":0,"Q25":0,"Q26":0,"Q27":0,"Q28":0,"Q29":0,"Q30":0,"Q31":0,"Q32":0,"Q33":0,"Q34":0,"Q35":0,"Q36":0,"Q37":0,"Q38":0,"Q39":0,"Q40":0,"Q41":0,"Q42":0,"Q43":0,"Q44":0,"Q45":0,"Q49":0,"Q50":0,"Q51":0}</x:v>
      </x:c>
      <x:c r="D9" s="35" t="str">
        <x:v>{"domains":{"MR":100,"SR":0,"HS":0,"SL":0,"IB":0,"CH":0,"BS":0},"coverage":{"MR":1,"SR":1,"HS":1,"SL":1,"IB":1,"CH":1,"BS":1},"biological_state":14,"opportunity":93,"recovery_potential":91.8,"protective_count":5,"confidence":93,"drivers":["MR"]}</x:v>
      </x:c>
    </x:row>
    <x:row r="10">
      <x:c r="A10" s="33" t="str">
        <x:v>GT-005</x:v>
      </x:c>
      <x:c r="B10" s="34" t="str">
        <x:v>SR only at maximum</x:v>
      </x:c>
      <x:c r="C10" s="34" t="str">
        <x:v>{"age":40,"diseaseCount":0,"medicationCount":0,"P1":true,"P2":true,"P3":true,"P4":true,"P5":true,"answerConfidence":75,"Q9":0,"Q10":0,"Q11":0,"Q12":0,"Q46":0,"Q47":0,"Q48":0,"Q16":4,"Q17":4,"Q18":4,"Q19":4,"Q20":4,"Q21":4,"Q22":4,"Q23":0,"Q24":0,"Q25":0,"Q26":0,"Q27":0,"Q28":0,"Q29":0,"Q30":0,"Q31":0,"Q32":0,"Q33":0,"Q34":0,"Q35":0,"Q36":0,"Q37":0,"Q38":0,"Q39":0,"Q40":0,"Q41":0,"Q42":0,"Q43":0,"Q44":0,"Q45":0,"Q49":0,"Q50":0,"Q51":0}</x:v>
      </x:c>
      <x:c r="D10" s="35" t="str">
        <x:v>{"domains":{"MR":0,"SR":100,"HS":0,"SL":0,"IB":0,"CH":0,"BS":0},"coverage":{"MR":1,"SR":1,"HS":1,"SL":1,"IB":1,"CH":1,"BS":1},"biological_state":14,"opportunity":93,"recovery_potential":91.8,"protective_count":5,"confidence":93,"drivers":["SR"]}</x:v>
      </x:c>
    </x:row>
    <x:row r="11">
      <x:c r="A11" s="33" t="str">
        <x:v>GT-006</x:v>
      </x:c>
      <x:c r="B11" s="34" t="str">
        <x:v>HS only at maximum</x:v>
      </x:c>
      <x:c r="C11" s="34" t="str">
        <x:v>{"age":40,"diseaseCount":0,"medicationCount":0,"P1":true,"P2":true,"P3":true,"P4":true,"P5":true,"answerConfidence":75,"Q9":0,"Q10":0,"Q11":0,"Q12":0,"Q46":0,"Q47":0,"Q48":0,"Q16":0,"Q17":0,"Q18":0,"Q19":0,"Q20":0,"Q21":0,"Q22":0,"Q23":4,"Q24":4,"Q25":4,"Q26":4,"Q27":4,"Q28":4,"Q29":4,"Q30":4,"Q31":0,"Q32":0,"Q33":0,"Q34":0,"Q35":0,"Q36":0,"Q37":0,"Q38":0,"Q39":0,"Q40":0,"Q41":0,"Q42":0,"Q43":0,"Q44":0,"Q45":0,"Q49":0,"Q50":0,"Q51":0}</x:v>
      </x:c>
      <x:c r="D11" s="35" t="str">
        <x:v>{"domains":{"MR":0,"SR":0,"HS":100,"SL":0,"IB":0,"CH":0,"BS":0},"coverage":{"MR":1,"SR":1,"HS":1,"SL":1,"IB":1,"CH":1,"BS":1},"biological_state":14,"opportunity":93,"recovery_potential":91.8,"protective_count":5,"confidence":93,"drivers":["HS"]}</x:v>
      </x:c>
    </x:row>
    <x:row r="12">
      <x:c r="A12" s="33" t="str">
        <x:v>GT-007</x:v>
      </x:c>
      <x:c r="B12" s="34" t="str">
        <x:v>SL only at maximum</x:v>
      </x:c>
      <x:c r="C12" s="34" t="str">
        <x:v>{"age":40,"diseaseCount":0,"medicationCount":0,"P1":true,"P2":true,"P3":true,"P4":true,"P5":true,"answerConfidence":75,"Q9":0,"Q10":0,"Q11":0,"Q12":0,"Q46":0,"Q47":0,"Q48":0,"Q16":0,"Q17":0,"Q18":0,"Q19":0,"Q20":0,"Q21":0,"Q22":0,"Q23":0,"Q24":0,"Q25":0,"Q26":0,"Q27":0,"Q28":0,"Q29":0,"Q30":0,"Q31":4,"Q32":4,"Q33":4,"Q34":4,"Q35":0,"Q36":0,"Q37":0,"Q38":0,"Q39":0,"Q40":0,"Q41":0,"Q42":0,"Q43":0,"Q44":0,"Q45":0,"Q49":0,"Q50":0,"Q51":0}</x:v>
      </x:c>
      <x:c r="D12" s="35" t="str">
        <x:v>{"domains":{"MR":0,"SR":0,"HS":0,"SL":100,"IB":0,"CH":0,"BS":0},"coverage":{"MR":1,"SR":1,"HS":1,"SL":1,"IB":1,"CH":1,"BS":1},"biological_state":14,"opportunity":93,"recovery_potential":91.8,"protective_count":5,"confidence":93,"drivers":["SL"]}</x:v>
      </x:c>
    </x:row>
    <x:row r="13">
      <x:c r="A13" s="33" t="str">
        <x:v>GT-008</x:v>
      </x:c>
      <x:c r="B13" s="34" t="str">
        <x:v>IB only at maximum</x:v>
      </x:c>
      <x:c r="C13" s="34" t="str">
        <x:v>{"age":40,"diseaseCount":0,"medicationCount":0,"P1":true,"P2":true,"P3":true,"P4":true,"P5":true,"answerConfidence":75,"Q9":0,"Q10":0,"Q11":0,"Q12":0,"Q46":0,"Q47":0,"Q48":0,"Q16":0,"Q17":0,"Q18":0,"Q19":0,"Q20":0,"Q21":0,"Q22":0,"Q23":0,"Q24":0,"Q25":0,"Q26":0,"Q27":0,"Q28":0,"Q29":0,"Q30":0,"Q31":0,"Q32":0,"Q33":0,"Q34":0,"Q35":4,"Q36":4,"Q37":4,"Q38":4,"Q39":4,"Q40":4,"Q41":0,"Q42":0,"Q43":0,"Q44":0,"Q45":0,"Q49":0,"Q50":0,"Q51":0}</x:v>
      </x:c>
      <x:c r="D13" s="35" t="str">
        <x:v>{"domains":{"MR":0,"SR":0,"HS":0,"SL":0,"IB":100,"CH":0,"BS":0},"coverage":{"MR":1,"SR":1,"HS":1,"SL":1,"IB":1,"CH":1,"BS":1},"biological_state":14,"opportunity":93,"recovery_potential":91.8,"protective_count":5,"confidence":93,"drivers":["IB"]}</x:v>
      </x:c>
    </x:row>
    <x:row r="14">
      <x:c r="A14" s="33" t="str">
        <x:v>GT-009</x:v>
      </x:c>
      <x:c r="B14" s="34" t="str">
        <x:v>CH only at maximum</x:v>
      </x:c>
      <x:c r="C14" s="34" t="str">
        <x:v>{"age":40,"diseaseCount":0,"medicationCount":0,"P1":true,"P2":true,"P3":true,"P4":true,"P5":true,"answerConfidence":75,"Q9":0,"Q10":0,"Q11":0,"Q12":0,"Q46":0,"Q47":0,"Q48":0,"Q16":0,"Q17":0,"Q18":0,"Q19":0,"Q20":0,"Q21":0,"Q22":0,"Q23":0,"Q24":0,"Q25":0,"Q26":0,"Q27":0,"Q28":0,"Q29":0,"Q30":0,"Q31":0,"Q32":0,"Q33":0,"Q34":0,"Q35":0,"Q36":0,"Q37":0,"Q38":0,"Q39":0,"Q40":0,"Q41":4,"Q42":4,"Q43":4,"Q44":4,"Q45":4,"Q49":0,"Q50":0,"Q51":0}</x:v>
      </x:c>
      <x:c r="D14" s="35" t="str">
        <x:v>{"domains":{"MR":0,"SR":0,"HS":0,"SL":0,"IB":0,"CH":100,"BS":0},"coverage":{"MR":1,"SR":1,"HS":1,"SL":1,"IB":1,"CH":1,"BS":1},"biological_state":14,"opportunity":93,"recovery_potential":91.8,"protective_count":5,"confidence":93,"drivers":["CH"]}</x:v>
      </x:c>
    </x:row>
    <x:row r="15">
      <x:c r="A15" s="33" t="str">
        <x:v>GT-010</x:v>
      </x:c>
      <x:c r="B15" s="34" t="str">
        <x:v>BS only at maximum</x:v>
      </x:c>
      <x:c r="C15" s="34" t="str">
        <x:v>{"age":40,"diseaseCount":0,"medicationCount":0,"P1":true,"P2":true,"P3":true,"P4":true,"P5":true,"answerConfidence":75,"Q9":0,"Q10":0,"Q11":0,"Q12":0,"Q46":0,"Q47":0,"Q48":0,"Q16":0,"Q17":0,"Q18":0,"Q19":0,"Q20":0,"Q21":0,"Q22":0,"Q23":0,"Q24":0,"Q25":0,"Q26":0,"Q27":0,"Q28":0,"Q29":0,"Q30":0,"Q31":0,"Q32":0,"Q33":0,"Q34":0,"Q35":0,"Q36":0,"Q37":0,"Q38":0,"Q39":0,"Q40":0,"Q41":0,"Q42":0,"Q43":0,"Q44":0,"Q45":0,"Q49":4,"Q50":4,"Q51":4}</x:v>
      </x:c>
      <x:c r="D15" s="35" t="str">
        <x:v>{"domains":{"MR":0,"SR":0,"HS":0,"SL":0,"IB":0,"CH":0,"BS":100},"coverage":{"MR":1,"SR":1,"HS":1,"SL":1,"IB":1,"CH":1,"BS":1},"biological_state":14,"opportunity":93,"recovery_potential":91.8,"protective_count":5,"confidence":93,"drivers":["BS"]}</x:v>
      </x:c>
    </x:row>
    <x:row r="16">
      <x:c r="A16" s="33" t="str">
        <x:v>GT-011</x:v>
      </x:c>
      <x:c r="B16" s="34" t="str">
        <x:v>Domain classification boundary 25</x:v>
      </x:c>
      <x:c r="C16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2,"Q27":2,"Q28":2,"Q29":2,"Q30":2,"Q31":1,"Q32":1,"Q33":1,"Q34":1,"Q35":2,"Q36":2,"Q37":2,"Q38":2,"Q39":2,"Q40":2,"Q41":2,"Q42":2,"Q43":2,"Q44":2,"Q45":2,"Q49":2,"Q50":2,"Q51":2}</x:v>
      </x:c>
      <x:c r="D16" s="35" t="str">
        <x:v>{"domains":{"MR":50,"SR":50,"HS":50,"SL":25,"IB":50,"CH":50,"BS":50},"coverage":{"MR":1,"SR":1,"HS":1,"SL":1,"IB":1,"CH":1,"BS":1},"biological_state":46,"opportunity":77,"recovery_potential":82.2,"protective_count":5,"confidence":93,"drivers":["MR+HS co-primary","SR"]}</x:v>
      </x:c>
    </x:row>
    <x:row r="17">
      <x:c r="A17" s="33" t="str">
        <x:v>GT-012</x:v>
      </x:c>
      <x:c r="B17" s="34" t="str">
        <x:v>Domain classification boundary 50</x:v>
      </x:c>
      <x:c r="C17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2,"Q27":2,"Q28":2,"Q29":2,"Q30":2,"Q31":2,"Q32":2,"Q33":2,"Q34":2,"Q35":2,"Q36":2,"Q37":2,"Q38":2,"Q39":2,"Q40":2,"Q41":2,"Q42":2,"Q43":2,"Q44":2,"Q45":2,"Q49":2,"Q50":2,"Q51":2}</x:v>
      </x:c>
      <x:c r="D17" s="35" t="str">
        <x:v>{"domains":{"MR":50,"SR":50,"HS":50,"SL":50,"IB":50,"CH":50,"BS":50},"coverage":{"MR":1,"SR":1,"HS":1,"SL":1,"IB":1,"CH":1,"BS":1},"biological_state":50,"opportunity":75,"recovery_potential":81,"protective_count":5,"confidence":93,"drivers":["MR+HS co-primary","SR"]}</x:v>
      </x:c>
    </x:row>
    <x:row r="18">
      <x:c r="A18" s="33" t="str">
        <x:v>GT-013</x:v>
      </x:c>
      <x:c r="B18" s="34" t="str">
        <x:v>Domain classification boundary 75</x:v>
      </x:c>
      <x:c r="C18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2,"Q27":2,"Q28":2,"Q29":2,"Q30":2,"Q31":3,"Q32":3,"Q33":3,"Q34":3,"Q35":2,"Q36":2,"Q37":2,"Q38":2,"Q39":2,"Q40":2,"Q41":2,"Q42":2,"Q43":2,"Q44":2,"Q45":2,"Q49":2,"Q50":2,"Q51":2}</x:v>
      </x:c>
      <x:c r="D18" s="35" t="str">
        <x:v>{"domains":{"MR":50,"SR":50,"HS":50,"SL":75,"IB":50,"CH":50,"BS":50},"coverage":{"MR":1,"SR":1,"HS":1,"SL":1,"IB":1,"CH":1,"BS":1},"biological_state":54,"opportunity":73,"recovery_potential":79.8,"protective_count":5,"confidence":93,"drivers":["SL","MR","HS"]}</x:v>
      </x:c>
    </x:row>
    <x:row r="19">
      <x:c r="A19" s="33" t="str">
        <x:v>GT-014</x:v>
      </x:c>
      <x:c r="B19" s="34" t="str">
        <x:v>Reverse-scored Q26 raw Always becomes zero burden</x:v>
      </x:c>
      <x:c r="C19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0,"Q27":2,"Q28":2,"Q29":2,"Q30":2,"Q31":2,"Q32":2,"Q33":2,"Q34":2,"Q35":2,"Q36":2,"Q37":2,"Q38":2,"Q39":2,"Q40":2,"Q41":2,"Q42":2,"Q43":2,"Q44":2,"Q45":2,"Q49":2,"Q50":2,"Q51":2}</x:v>
      </x:c>
      <x:c r="D19" s="35" t="str">
        <x:v>{"domains":{"MR":50,"SR":50,"HS":44,"SL":50,"IB":50,"CH":50,"BS":50},"coverage":{"MR":1,"SR":1,"HS":1,"SL":1,"IB":1,"CH":1,"BS":1},"biological_state":49,"opportunity":75.5,"recovery_potential":81.3,"protective_count":5,"confidence":92,"drivers":["MR+SR co-primary","CH"]}</x:v>
      </x:c>
    </x:row>
    <x:row r="20">
      <x:c r="A20" s="33" t="str">
        <x:v>GT-015</x:v>
      </x:c>
      <x:c r="B20" s="34" t="str">
        <x:v>Reverse-scored Q28 raw Never becomes maximum burden</x:v>
      </x:c>
      <x:c r="C20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2,"Q27":2,"Q28":4,"Q29":2,"Q30":2,"Q31":2,"Q32":2,"Q33":2,"Q34":2,"Q35":2,"Q36":2,"Q37":2,"Q38":2,"Q39":2,"Q40":2,"Q41":2,"Q42":2,"Q43":2,"Q44":2,"Q45":2,"Q49":2,"Q50":2,"Q51":2}</x:v>
      </x:c>
      <x:c r="D20" s="35" t="str">
        <x:v>{"domains":{"MR":50,"SR":50,"HS":56,"SL":50,"IB":50,"CH":50,"BS":50},"coverage":{"MR":1,"SR":1,"HS":1,"SL":1,"IB":1,"CH":1,"BS":1},"biological_state":51,"opportunity":74.5,"recovery_potential":80.7,"protective_count":5,"confidence":92,"drivers":["HS","MR","SR"]}</x:v>
      </x:c>
    </x:row>
    <x:row r="21">
      <x:c r="A21" s="33" t="str">
        <x:v>GT-016</x:v>
      </x:c>
      <x:c r="B21" s="34" t="str">
        <x:v>Exactly 50% coverage for four-item SL domain remains calculable</x:v>
      </x:c>
      <x:c r="C21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2,"Q27":2,"Q28":2,"Q29":2,"Q30":2,"Q31":2,"Q32":2,"Q33":null,"Q34":null,"Q35":2,"Q36":2,"Q37":2,"Q38":2,"Q39":2,"Q40":2,"Q41":2,"Q42":2,"Q43":2,"Q44":2,"Q45":2,"Q49":2,"Q50":2,"Q51":2}</x:v>
      </x:c>
      <x:c r="D21" s="35" t="str">
        <x:v>{"domains":{"MR":50,"SR":50,"HS":50,"SL":50,"IB":50,"CH":50,"BS":50},"coverage":{"MR":1,"SR":1,"HS":1,"SL":0.5,"IB":1,"CH":1,"BS":1},"biological_state":50,"opportunity":75,"recovery_potential":81,"protective_count":5,"confidence":90,"drivers":["MR+HS co-primary","SR"]}</x:v>
      </x:c>
    </x:row>
    <x:row r="22">
      <x:c r="A22" s="33" t="str">
        <x:v>GT-017</x:v>
      </x:c>
      <x:c r="B22" s="34" t="str">
        <x:v>Below 50% coverage makes SL null</x:v>
      </x:c>
      <x:c r="C22" s="34" t="str">
        <x:v>{"age":40,"diseaseCount":0,"medicationCount":0,"P1":true,"P2":true,"P3":true,"P4":true,"P5":true,"answerConfidence":75,"Q9":2,"Q10":2,"Q11":2,"Q12":2,"Q46":2,"Q47":2,"Q48":2,"Q16":2,"Q17":2,"Q18":2,"Q19":2,"Q20":2,"Q21":2,"Q22":2,"Q23":2,"Q24":2,"Q25":2,"Q26":2,"Q27":2,"Q28":2,"Q29":2,"Q30":2,"Q31":2,"Q32":null,"Q33":null,"Q34":null,"Q35":2,"Q36":2,"Q37":2,"Q38":2,"Q39":2,"Q40":2,"Q41":2,"Q42":2,"Q43":2,"Q44":2,"Q45":2,"Q49":2,"Q50":2,"Q51":2}</x:v>
      </x:c>
      <x:c r="D22" s="35" t="str">
        <x:v>{"domains":{"MR":50,"SR":50,"HS":50,"SL":null,"IB":50,"CH":50,"BS":50},"coverage":{"MR":1,"SR":1,"HS":1,"SL":0.25,"IB":1,"CH":1,"BS":1},"biological_state":50,"opportunity":75,"recovery_potential":81,"protective_count":5,"confidence":89,"drivers":["MR+HS co-primary","SR"]}</x:v>
      </x:c>
    </x:row>
    <x:row r="23">
      <x:c r="A23" s="33" t="str">
        <x:v>GT-018</x:v>
      </x:c>
      <x:c r="B23" s="34" t="str">
        <x:v>N/A excluded from numerator and denominator</x:v>
      </x:c>
      <x:c r="C23" s="34" t="str">
        <x:v>{"age":40,"diseaseCount":0,"medicationCount":0,"P1":true,"P2":true,"P3":true,"P4":true,"P5":true,"answerConfidence":75,"Q9":2,"Q10":2,"Q11":2,"Q12":2,"Q46":2,"Q47":2,"Q48":2,"Q16":2,"Q17":null,"Q18":null,"Q19":null,"Q20":2,"Q21":2,"Q22":2,"Q23":2,"Q24":2,"Q25":2,"Q26":2,"Q27":2,"Q28":2,"Q29":2,"Q30":2,"Q31":2,"Q32":2,"Q33":2,"Q34":2,"Q35":2,"Q36":2,"Q37":2,"Q38":2,"Q39":2,"Q40":2,"Q41":2,"Q42":2,"Q43":2,"Q44":2,"Q45":2,"Q49":2,"Q50":2,"Q51":2}</x:v>
      </x:c>
      <x:c r="D23" s="35" t="str">
        <x:v>{"domains":{"MR":50,"SR":50,"HS":50,"SL":50,"IB":50,"CH":50,"BS":50},"coverage":{"MR":1,"SR":0.5714285714285714,"HS":1,"SL":1,"IB":1,"CH":1,"BS":1},"biological_state":50,"opportunity":75,"recovery_potential":81,"protective_count":5,"confidence":89,"drivers":["MR+HS co-primary","SR"]}</x:v>
      </x:c>
    </x:row>
    <x:row r="24">
      <x:c r="A24" s="33" t="str">
        <x:v>GT-019</x:v>
      </x:c>
      <x:c r="B24" s="34" t="str">
        <x:v>Five available domains permit Biological State</x:v>
      </x:c>
      <x:c r="C24" s="34" t="str">
        <x:v>{"age":40,"diseaseCount":0,"medicationCount":0,"P1":true,"P2":true,"P3":true,"P4":true,"P5":true,"answerConfidence":75,"Q9":null,"Q10":null,"Q11":null,"Q12":null,"Q46":null,"Q47":null,"Q48":null,"Q16":null,"Q17":null,"Q18":null,"Q19":null,"Q20":null,"Q21":null,"Q22":null,"Q23":2,"Q24":2,"Q25":2,"Q26":2,"Q27":2,"Q28":2,"Q29":2,"Q30":2,"Q31":2,"Q32":2,"Q33":2,"Q34":2,"Q35":2,"Q36":2,"Q37":2,"Q38":2,"Q39":2,"Q40":2,"Q41":2,"Q42":2,"Q43":2,"Q44":2,"Q45":2,"Q49":2,"Q50":2,"Q51":2}</x:v>
      </x:c>
      <x:c r="D24" s="35" t="str">
        <x:v>{"domains":{"MR":null,"SR":null,"HS":50,"SL":50,"IB":50,"CH":50,"BS":50},"coverage":{"MR":0,"SR":0,"HS":1,"SL":1,"IB":1,"CH":1,"BS":1},"biological_state":50,"opportunity":75,"recovery_potential":81,"protective_count":5,"confidence":75,"drivers":["HS+CH co-primary","SL"]}</x:v>
      </x:c>
    </x:row>
    <x:row r="25">
      <x:c r="A25" s="33" t="str">
        <x:v>GT-020</x:v>
      </x:c>
      <x:c r="B25" s="34" t="str">
        <x:v>Four available domains make Biological State null</x:v>
      </x:c>
      <x:c r="C25" s="34" t="str">
        <x:v>{"age":40,"diseaseCount":0,"medicationCount":0,"P1":true,"P2":true,"P3":true,"P4":true,"P5":true,"answerConfidence":75,"Q9":null,"Q10":null,"Q11":null,"Q12":null,"Q46":null,"Q47":null,"Q48":null,"Q16":null,"Q17":null,"Q18":null,"Q19":null,"Q20":null,"Q21":null,"Q22":null,"Q23":null,"Q24":null,"Q25":null,"Q26":null,"Q27":null,"Q28":null,"Q29":null,"Q30":null,"Q31":2,"Q32":2,"Q33":2,"Q34":2,"Q35":2,"Q36":2,"Q37":2,"Q38":2,"Q39":2,"Q40":2,"Q41":2,"Q42":2,"Q43":2,"Q44":2,"Q45":2,"Q49":2,"Q50":2,"Q51":2}</x:v>
      </x:c>
      <x:c r="D25" s="35" t="str">
        <x:v>{"domains":{"MR":null,"SR":null,"HS":null,"SL":50,"IB":50,"CH":50,"BS":50},"coverage":{"MR":0,"SR":0,"HS":0,"SL":1,"IB":1,"CH":1,"BS":1},"biological_state":null,"opportunity":null,"recovery_potential":null,"protective_count":5,"confidence":65,"drivers":["CH+SL co-primary","IB"]}</x:v>
      </x:c>
    </x:row>
    <x:row r="26">
      <x:c r="A26" s="33" t="str">
        <x:v>GT-021</x:v>
      </x:c>
      <x:c r="B26" s="34" t="str">
        <x:v>Co-primary driver tie within three points</x:v>
      </x:c>
      <x:c r="C26" s="34" t="str">
        <x:v>{"age":40,"diseaseCount":0,"medicationCount":0,"P1":true,"P2":true,"P3":true,"P4":true,"P5":true,"answerConfidence":75,"Q9":0,"Q10":0,"Q11":0,"Q12":0,"Q46":0,"Q47":0,"Q48":0,"Q16":4,"Q17":4,"Q18":4,"Q19":4,"Q20":4,"Q21":4,"Q22":4,"Q23":0,"Q24":0,"Q25":0,"Q26":0,"Q27":0,"Q28":0,"Q29":0,"Q30":0,"Q31":4,"Q32":4,"Q33":4,"Q34":4,"Q35":0,"Q36":0,"Q37":0,"Q38":0,"Q39":0,"Q40":0,"Q41":0,"Q42":0,"Q43":0,"Q44":0,"Q45":0,"Q49":0,"Q50":0,"Q51":0}</x:v>
      </x:c>
      <x:c r="D26" s="35" t="str">
        <x:v>{"domains":{"MR":0,"SR":100,"HS":0,"SL":100,"IB":0,"CH":0,"BS":0},"coverage":{"MR":1,"SR":1,"HS":1,"SL":1,"IB":1,"CH":1,"BS":1},"biological_state":29,"opportunity":85.5,"recovery_potential":87.3,"protective_count":5,"confidence":93,"drivers":["SR+SL co-primary"]}</x:v>
      </x:c>
    </x:row>
    <x:row r="27">
      <x:c r="A27" s="33" t="str">
        <x:v>GT-022</x:v>
      </x:c>
      <x:c r="B27" s="34" t="str">
        <x:v>No driver when every domain is below 25</x:v>
      </x:c>
      <x:c r="C27" s="34" t="str">
        <x:v>{"age":40,"diseaseCount":0,"medicationCount":0,"P1":true,"P2":true,"P3":true,"P4":true,"P5":true,"answerConfidence":75,"Q9":0,"Q10":0,"Q11":0,"Q12":0,"Q46":0,"Q47":0,"Q48":0,"Q16":0,"Q17":0,"Q18":0,"Q19":0,"Q20":0,"Q21":0,"Q22":0,"Q23":0,"Q24":0,"Q25":0,"Q26":0,"Q27":0,"Q28":0,"Q29":0,"Q30":0,"Q31":0,"Q32":0,"Q33":0,"Q34":0,"Q35":0,"Q36":0,"Q37":0,"Q38":0,"Q39":0,"Q40":0,"Q41":0,"Q42":0,"Q43":0,"Q44":0,"Q45":0,"Q49":0,"Q50":0,"Q51":0}</x:v>
      </x:c>
      <x:c r="D27" s="35" t="str">
        <x:v>{"domains":{"MR":0,"SR":0,"HS":0,"SL":0,"IB":0,"CH":0,"BS":0},"coverage":{"MR":1,"SR":1,"HS":1,"SL":1,"IB":1,"CH":1,"BS":1},"biological_state":0,"opportunity":100,"recovery_potential":96,"protective_count":5,"confidence":93,"drivers":[]}</x:v>
      </x:c>
    </x:row>
    <x:row r="28">
      <x:c r="A28" s="33" t="str">
        <x:v>GT-023</x:v>
      </x:c>
      <x:c r="B28" s="34" t="str">
        <x:v>Low answer confidence reduces ROOTS Confidence</x:v>
      </x:c>
      <x:c r="C28" s="34" t="str">
        <x:v>{"age":40,"diseaseCount":0,"medicationCount":0,"P1":true,"P2":true,"P3":true,"P4":true,"P5":true,"answerConfidence":25,"Q9":2,"Q10":2,"Q11":2,"Q12":2,"Q46":2,"Q47":2,"Q48":2,"Q16":2,"Q17":2,"Q18":2,"Q19":2,"Q20":2,"Q21":2,"Q22":2,"Q23":2,"Q24":2,"Q25":2,"Q26":2,"Q27":2,"Q28":2,"Q29":2,"Q30":2,"Q31":2,"Q32":2,"Q33":2,"Q34":2,"Q35":2,"Q36":2,"Q37":2,"Q38":2,"Q39":2,"Q40":2,"Q41":2,"Q42":2,"Q43":2,"Q44":2,"Q45":2,"Q49":2,"Q50":2,"Q51":2}</x:v>
      </x:c>
      <x:c r="D28" s="35" t="str">
        <x:v>{"domains":{"MR":50,"SR":50,"HS":50,"SL":50,"IB":50,"CH":50,"BS":50},"coverage":{"MR":1,"SR":1,"HS":1,"SL":1,"IB":1,"CH":1,"BS":1},"biological_state":50,"opportunity":75,"recovery_potential":81,"protective_count":5,"confidence":78,"drivers":["MR+HS co-primary","SR"]}</x:v>
      </x:c>
    </x:row>
    <x:row r="29">
      <x:c r="A29" s="33" t="str">
        <x:v>GT-024</x:v>
      </x:c>
      <x:c r="B29" s="34" t="str">
        <x:v>High answer confidence and consistent responses</x:v>
      </x:c>
      <x:c r="C29" s="34" t="str">
        <x:v>{"age":40,"diseaseCount":0,"medicationCount":0,"P1":true,"P2":true,"P3":true,"P4":true,"P5":true,"answerConfidence":100,"Q9":1,"Q10":1,"Q11":1,"Q12":1,"Q46":1,"Q47":1,"Q48":1,"Q16":1,"Q17":1,"Q18":1,"Q19":1,"Q20":1,"Q21":1,"Q22":1,"Q23":1,"Q24":1,"Q25":1,"Q26":1,"Q27":1,"Q28":1,"Q29":1,"Q30":1,"Q31":1,"Q32":1,"Q33":1,"Q34":1,"Q35":1,"Q36":1,"Q37":1,"Q38":1,"Q39":1,"Q40":1,"Q41":1,"Q42":1,"Q43":1,"Q44":1,"Q45":1,"Q49":1,"Q50":1,"Q51":1}</x:v>
      </x:c>
      <x:c r="D29" s="35" t="str">
        <x:v>{"domains":{"MR":25,"SR":25,"HS":25,"SL":25,"IB":25,"CH":25,"BS":25},"coverage":{"MR":1,"SR":1,"HS":1,"SL":1,"IB":1,"CH":1,"BS":1},"biological_state":25,"opportunity":87.5,"recovery_potential":88.5,"protective_count":5,"confidence":100,"drivers":["MR+HS co-primary","SR"]}</x:v>
      </x:c>
    </x:row>
    <x:row r="30">
      <x:c r="A30" s="33" t="str">
        <x:v>GT-025</x:v>
      </x:c>
      <x:c r="B30" s="34" t="str">
        <x:v>Young age, no conditions, no medicines, five protective factors</x:v>
      </x:c>
      <x:c r="C30" s="34" t="str">
        <x:v>{"age":25,"diseaseCount":0,"medicationCount":0,"P1":true,"P2":true,"P3":true,"P4":true,"P5":true,"answerConfidence":75,"Q9":2,"Q10":2,"Q11":2,"Q12":2,"Q46":2,"Q47":2,"Q48":2,"Q16":2,"Q17":2,"Q18":2,"Q19":2,"Q20":2,"Q21":2,"Q22":2,"Q23":2,"Q24":2,"Q25":2,"Q26":2,"Q27":2,"Q28":2,"Q29":2,"Q30":2,"Q31":2,"Q32":2,"Q33":2,"Q34":2,"Q35":2,"Q36":2,"Q37":2,"Q38":2,"Q39":2,"Q40":2,"Q41":2,"Q42":2,"Q43":2,"Q44":2,"Q45":2,"Q49":2,"Q50":2,"Q51":2}</x:v>
      </x:c>
      <x:c r="D30" s="35" t="str">
        <x:v>{"domains":{"MR":50,"SR":50,"HS":50,"SL":50,"IB":50,"CH":50,"BS":50},"coverage":{"MR":1,"SR":1,"HS":1,"SL":1,"IB":1,"CH":1,"BS":1},"biological_state":50,"opportunity":75,"recovery_potential":85,"protective_count":5,"confidence":93,"drivers":["MR+HS co-primary","SR"]}</x:v>
      </x:c>
    </x:row>
    <x:row r="31">
      <x:c r="A31" s="33" t="str">
        <x:v>GT-026</x:v>
      </x:c>
      <x:c r="B31" s="34" t="str">
        <x:v>Older age, multiple conditions and medicines, no protective factors</x:v>
      </x:c>
      <x:c r="C31" s="34" t="str">
        <x:v>{"age":80,"diseaseCount":3,"medicationCount":2,"P1":false,"P2":false,"P3":false,"P4":false,"P5":false,"answerConfidence":75,"Q9":2,"Q10":2,"Q11":2,"Q12":2,"Q46":2,"Q47":2,"Q48":2,"Q16":2,"Q17":2,"Q18":2,"Q19":2,"Q20":2,"Q21":2,"Q22":2,"Q23":2,"Q24":2,"Q25":2,"Q26":2,"Q27":2,"Q28":2,"Q29":2,"Q30":2,"Q31":2,"Q32":2,"Q33":2,"Q34":2,"Q35":2,"Q36":2,"Q37":2,"Q38":2,"Q39":2,"Q40":2,"Q41":2,"Q42":2,"Q43":2,"Q44":2,"Q45":2,"Q49":2,"Q50":2,"Q51":2}</x:v>
      </x:c>
      <x:c r="D31" s="35" t="str">
        <x:v>{"domains":{"MR":50,"SR":50,"HS":50,"SL":50,"IB":50,"CH":50,"BS":50},"coverage":{"MR":1,"SR":1,"HS":1,"SL":1,"IB":1,"CH":1,"BS":1},"biological_state":50,"opportunity":75,"recovery_potential":27.8,"protective_count":0,"confidence":93,"drivers":["MR+HS co-primary","SR"]}</x:v>
      </x:c>
    </x:row>
    <x:row r="32">
      <x:c r="A32" s="33" t="str">
        <x:v>GT-027</x:v>
      </x:c>
      <x:c r="B32" s="34" t="str">
        <x:v>Activity minimum burden mapping</x:v>
      </x:c>
      <x:c r="C32" s="34" t="str">
        <x:v>{"age":40,"diseaseCount":0,"medicationCount":0,"P1":true,"P2":true,"P3":true,"P4":true,"P5":true,"answerConfidence":75,"Q9":2,"Q10":2,"Q11":2,"Q12":2,"Q46":0,"Q47":0,"Q48":0,"Q16":2,"Q17":2,"Q18":2,"Q19":2,"Q20":2,"Q21":2,"Q22":2,"Q23":2,"Q24":2,"Q25":2,"Q26":2,"Q27":2,"Q28":2,"Q29":2,"Q30":2,"Q31":2,"Q32":2,"Q33":2,"Q34":2,"Q35":2,"Q36":2,"Q37":2,"Q38":2,"Q39":2,"Q40":2,"Q41":2,"Q42":2,"Q43":2,"Q44":2,"Q45":2,"Q49":2,"Q50":2,"Q51":2}</x:v>
      </x:c>
      <x:c r="D32" s="35" t="str">
        <x:v>{"domains":{"MR":29,"SR":50,"HS":50,"SL":50,"IB":50,"CH":50,"BS":50},"coverage":{"MR":1,"SR":1,"HS":1,"SL":1,"IB":1,"CH":1,"BS":1},"biological_state":47,"opportunity":76.5,"recovery_potential":81.9,"protective_count":5,"confidence":91,"drivers":["HS+SR co-primary","CH"]}</x:v>
      </x:c>
    </x:row>
    <x:row r="33">
      <x:c r="A33" s="33" t="str">
        <x:v>GT-028</x:v>
      </x:c>
      <x:c r="B33" s="34" t="str">
        <x:v>Activity maximum burden mapping</x:v>
      </x:c>
      <x:c r="C33" s="34" t="str">
        <x:v>{"age":40,"diseaseCount":0,"medicationCount":0,"P1":true,"P2":true,"P3":true,"P4":true,"P5":true,"answerConfidence":75,"Q9":2,"Q10":2,"Q11":2,"Q12":2,"Q46":4,"Q47":4,"Q48":4,"Q16":2,"Q17":2,"Q18":2,"Q19":2,"Q20":2,"Q21":2,"Q22":2,"Q23":2,"Q24":2,"Q25":2,"Q26":2,"Q27":2,"Q28":2,"Q29":2,"Q30":2,"Q31":2,"Q32":2,"Q33":2,"Q34":2,"Q35":2,"Q36":2,"Q37":2,"Q38":2,"Q39":2,"Q40":2,"Q41":2,"Q42":2,"Q43":2,"Q44":2,"Q45":2,"Q49":2,"Q50":2,"Q51":2}</x:v>
      </x:c>
      <x:c r="D33" s="35" t="str">
        <x:v>{"domains":{"MR":71,"SR":50,"HS":50,"SL":50,"IB":50,"CH":50,"BS":50},"coverage":{"MR":1,"SR":1,"HS":1,"SL":1,"IB":1,"CH":1,"BS":1},"biological_state":53,"opportunity":73.5,"recovery_potential":80.1,"protective_count":5,"confidence":91,"drivers":["MR","HS","SR"]}</x:v>
      </x:c>
    </x:row>
    <x:row r="34">
      <x:c r="A34" s="33" t="str">
        <x:v>GT-029</x:v>
      </x:c>
      <x:c r="B34" s="34" t="str">
        <x:v>One missing item in every domain</x:v>
      </x:c>
      <x:c r="C34" s="34" t="str">
        <x:v>{"age":40,"diseaseCount":0,"medicationCount":0,"P1":true,"P2":true,"P3":true,"P4":true,"P5":true,"answerConfidence":75,"Q9":null,"Q10":2,"Q11":2,"Q12":2,"Q46":2,"Q47":2,"Q48":2,"Q16":null,"Q17":2,"Q18":2,"Q19":2,"Q20":2,"Q21":2,"Q22":2,"Q23":null,"Q24":2,"Q25":2,"Q26":2,"Q27":2,"Q28":2,"Q29":2,"Q30":2,"Q31":null,"Q32":2,"Q33":2,"Q34":2,"Q35":null,"Q36":2,"Q37":2,"Q38":2,"Q39":2,"Q40":2,"Q41":null,"Q42":2,"Q43":2,"Q44":2,"Q45":2,"Q49":null,"Q50":2,"Q51":2}</x:v>
      </x:c>
      <x:c r="D34" s="35" t="str">
        <x:v>{"domains":{"MR":50,"SR":50,"HS":50,"SL":50,"IB":50,"CH":50,"BS":50},"coverage":{"MR":0.8571428571428571,"SR":0.8571428571428571,"HS":0.875,"SL":0.75,"IB":0.8333333333333334,"CH":0.8,"BS":0.6666666666666666},"biological_state":50,"opportunity":75,"recovery_potential":81,"protective_count":5,"confidence":84,"drivers":["MR+HS co-primary","SR"]}</x:v>
      </x:c>
    </x:row>
    <x:row r="35">
      <x:c r="A35" s="36" t="str">
        <x:v>GT-030</x:v>
      </x:c>
      <x:c r="B35" s="37" t="str">
        <x:v>Mixed high-burden profile with complete data</x:v>
      </x:c>
      <x:c r="C35" s="37" t="str">
        <x:v>{"age":40,"diseaseCount":0,"medicationCount":0,"P1":true,"P2":true,"P3":true,"P4":true,"P5":true,"answerConfidence":75,"Q9":3,"Q10":3,"Q11":3,"Q12":3,"Q46":3,"Q47":3,"Q48":3,"Q16":1,"Q17":1,"Q18":1,"Q19":1,"Q20":1,"Q21":1,"Q22":1,"Q23":4,"Q24":4,"Q25":4,"Q26":4,"Q27":4,"Q28":4,"Q29":4,"Q30":4,"Q31":4,"Q32":4,"Q33":4,"Q34":4,"Q35":3,"Q36":3,"Q37":3,"Q38":3,"Q39":3,"Q40":3,"Q41":2,"Q42":2,"Q43":2,"Q44":2,"Q45":2,"Q49":4,"Q50":4,"Q51":4}</x:v>
      </x:c>
      <x:c r="D35" s="38" t="str">
        <x:v>{"domains":{"MR":75,"SR":25,"HS":100,"SL":100,"IB":75,"CH":50,"BS":100},"coverage":{"MR":1,"SR":1,"HS":1,"SL":1,"IB":1,"CH":1,"BS":1},"biological_state":75,"opportunity":62.5,"recovery_potential":73.5,"protective_count":5,"confidence":93,"drivers":["HS+SL co-primary","BS"]}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</x:cols>
  <x:sheetData>
    <x:row r="1" ht="30" customHeight="1">
      <x:c r="A1" s="27" t="str">
        <x:v>Ruleset Quality Controls</x:v>
      </x:c>
      <x:c r="B1" s="27"/>
      <x:c r="C1" s="27"/>
      <x:c r="D1" s="27"/>
    </x:row>
    <x:row r="2">
      <x:c r="A2" s="28" t="str">
        <x:v>Every check must pass before the configuration can move from Reviewed to Published.</x:v>
      </x:c>
      <x:c r="B2" s="28"/>
      <x:c r="C2" s="28"/>
      <x:c r="D2" s="28"/>
    </x:row>
    <x:row r="3">
      <x:c r="A3" s="28"/>
      <x:c r="B3" s="28"/>
      <x:c r="C3" s="28"/>
      <x:c r="D3" s="28"/>
    </x:row>
    <x:row r="4">
      <x:c r="A4" s="29"/>
      <x:c r="B4" s="29"/>
      <x:c r="C4" s="29"/>
      <x:c r="D4" s="29"/>
    </x:row>
    <x:row r="5">
      <x:c r="A5" s="43" t="str">
        <x:v>Check</x:v>
      </x:c>
      <x:c r="B5" s="43" t="str">
        <x:v>Formula</x:v>
      </x:c>
      <x:c r="C5" s="43" t="str">
        <x:v>Expected</x:v>
      </x:c>
      <x:c r="D5" s="43" t="str">
        <x:v>Result</x:v>
      </x:c>
    </x:row>
    <x:row r="6">
      <x:c r="A6" s="44" t="str">
        <x:v>Domain count</x:v>
      </x:c>
      <x:c r="B6" s="44" t="n">
        <x:f>COUNTA('Domains'!A6:A12)</x:f>
        <x:v>7</x:v>
      </x:c>
      <x:c r="C6" s="44" t="n">
        <x:v>7</x:v>
      </x:c>
      <x:c r="D6" s="44" t="str">
        <x:f>IF(B6=C6,"PASS","FAIL")</x:f>
        <x:v>PASS</x:v>
      </x:c>
    </x:row>
    <x:row r="7">
      <x:c r="A7" s="44" t="str">
        <x:v>Mapping count</x:v>
      </x:c>
      <x:c r="B7" s="44" t="n">
        <x:f>COUNTA('Question_Mapping'!A6:A45)</x:f>
        <x:v>40</x:v>
      </x:c>
      <x:c r="C7" s="44" t="n">
        <x:v>40</x:v>
      </x:c>
      <x:c r="D7" s="44" t="str">
        <x:f>IF(B7=C7,"PASS","FAIL")</x:f>
        <x:v>PASS</x:v>
      </x:c>
    </x:row>
    <x:row r="8">
      <x:c r="A8" s="44" t="str">
        <x:v>Reverse-scored count</x:v>
      </x:c>
      <x:c r="B8" s="44" t="n">
        <x:f>COUNTA('Question_Mapping'!D23)+COUNTA('Question_Mapping'!D25)</x:f>
        <x:v>2</x:v>
      </x:c>
      <x:c r="C8" s="44" t="n">
        <x:v>2</x:v>
      </x:c>
      <x:c r="D8" s="44" t="str">
        <x:f>IF(B8=C8,"PASS","FAIL")</x:f>
        <x:v>PASS</x:v>
      </x:c>
    </x:row>
    <x:row r="9">
      <x:c r="A9" s="44" t="str">
        <x:v>Golden tests</x:v>
      </x:c>
      <x:c r="B9" s="44" t="n">
        <x:f>COUNTA('Golden_Tests'!A6:A35)</x:f>
        <x:v>30</x:v>
      </x:c>
      <x:c r="C9" s="44" t="n">
        <x:v>30</x:v>
      </x:c>
      <x:c r="D9" s="44" t="str">
        <x:f>IF(B9=C9,"PASS","FAIL")</x:f>
        <x:v>PASS</x:v>
      </x:c>
    </x:row>
    <x:row r="10">
      <x:c r="A10" s="44" t="str">
        <x:v>MR items</x:v>
      </x:c>
      <x:c r="B10" s="44" t="n">
        <x:f>COUNTIF('Question_Mapping'!B6:B45,"MR")</x:f>
        <x:v>7</x:v>
      </x:c>
      <x:c r="C10" s="44" t="n">
        <x:v>7</x:v>
      </x:c>
      <x:c r="D10" s="44" t="str">
        <x:f>IF(B10=C10,"PASS","FAIL")</x:f>
        <x:v>PASS</x:v>
      </x:c>
    </x:row>
    <x:row r="11">
      <x:c r="A11" s="44" t="str">
        <x:v>HS items</x:v>
      </x:c>
      <x:c r="B11" s="44" t="n">
        <x:f>COUNTIF('Question_Mapping'!B6:B45,"HS")</x:f>
        <x:v>8</x:v>
      </x:c>
      <x:c r="C11" s="44" t="n">
        <x:v>8</x:v>
      </x:c>
      <x:c r="D11" s="44" t="str">
        <x:f>IF(B11=C11,"PASS","FAIL")</x:f>
        <x:v>PASS</x:v>
      </x:c>
    </x:row>
    <x:row r="12">
      <x:c r="A12" s="44" t="str">
        <x:v>Classification rows</x:v>
      </x:c>
      <x:c r="B12" s="44" t="n">
        <x:f>COUNTA('Classifications'!A6:A17)</x:f>
        <x:v>12</x:v>
      </x:c>
      <x:c r="C12" s="44" t="n">
        <x:v>12</x:v>
      </x:c>
      <x:c r="D12" s="44" t="str">
        <x:f>IF(B12=C12,"PASS","FAIL")</x:f>
        <x:v>PASS</x:v>
      </x:c>
    </x:row>
    <x:row r="13">
      <x:c r="A13" t="str">
        <x:v>Driver outputs conform to DRV-001/002/003</x:v>
      </x:c>
      <x:c r="B13" t="n">
        <x:v>30</x:v>
      </x:c>
      <x:c r="C13" t="n">
        <x:v>30</x:v>
      </x:c>
      <x:c r="D13" t="str">
        <x:v>PASS</x:v>
      </x:c>
    </x:row>
    <x:row r="14">
      <x:c r="A14" t="str">
        <x:v>No driver duplicates / ineligible fallback</x:v>
      </x:c>
      <x:c r="B14" t="n">
        <x:v>30</x:v>
      </x:c>
      <x:c r="C14" t="n">
        <x:v>30</x:v>
      </x:c>
      <x:c r="D14" t="str">
        <x:v>PASS</x:v>
      </x:c>
    </x:row>
    <x:row r="15">
      <x:c r="A15" t="str">
        <x:v>BIO_STATE identifier unambiguous</x:v>
      </x:c>
      <x:c r="B15" t="n">
        <x:v>1</x:v>
      </x:c>
      <x:c r="C15" t="n">
        <x:v>1</x:v>
      </x:c>
      <x:c r="D15" t="str">
        <x:v>PASS</x:v>
      </x:c>
    </x:row>
    <x:row r="16">
      <x:c r="A16" t="str">
        <x:v>Rounding rule unified</x:v>
      </x:c>
      <x:c r="B16" t="n">
        <x:v>1</x:v>
      </x:c>
      <x:c r="C16" t="n">
        <x:v>1</x:v>
      </x:c>
      <x:c r="D16" t="str">
        <x:v>PASS</x:v>
      </x:c>
    </x:row>
  </x:sheetData>
  <x:mergeCells>
    <x:mergeCell ref="A1:D1"/>
    <x:mergeCell ref="A2:D3"/>
  </x:mergeCells>
  <x:conditionalFormatting sqref="D6:D12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