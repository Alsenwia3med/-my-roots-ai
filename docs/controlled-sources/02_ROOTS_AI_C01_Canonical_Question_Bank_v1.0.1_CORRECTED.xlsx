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04fc5a1cc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edeb57fe90454c"/>
    <x:sheet xmlns:r="http://schemas.openxmlformats.org/officeDocument/2006/relationships" name="Modules" sheetId="2" r:id="Rc2aad32833a14df5"/>
    <x:sheet xmlns:r="http://schemas.openxmlformats.org/officeDocument/2006/relationships" name="Questions" sheetId="3" r:id="R6c82a48a611d4bb8"/>
    <x:sheet xmlns:r="http://schemas.openxmlformats.org/officeDocument/2006/relationships" name="Option_Sets" sheetId="4" r:id="Racb54f359a2545d5"/>
    <x:sheet xmlns:r="http://schemas.openxmlformats.org/officeDocument/2006/relationships" name="Validation" sheetId="5" r:id="Rbccfe37beae7403b"/>
    <x:sheet xmlns:r="http://schemas.openxmlformats.org/officeDocument/2006/relationships" name="QA_Checks" sheetId="6" r:id="R2e22c9190424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A4060"/>
      <x:name val="Carlito"/>
    </x:font>
    <x:font>
      <x:b/>
      <x:sz val="11"/>
      <x:color rgb="FFFFFFFF"/>
      <x:name val="Carlito"/>
    </x:font>
    <x:font>
      <x:b/>
      <x:sz val="11"/>
      <x:color rgb="FF1A2A4A"/>
      <x:name val="Carlito"/>
    </x:font>
    <x:font>
      <x:b/>
      <x:sz val="10"/>
      <x:color rgb="FF1A1A1A"/>
      <x:name val="Arial"/>
    </x:font>
    <x:font>
      <x:i/>
      <x:sz val="10"/>
      <x:color rgb="FF1A1A1A"/>
      <x:name val="Arial"/>
    </x:font>
    <x:font>
      <x:sz val="10"/>
      <x:color rgb="FF1A1A1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A2A4A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AE60"/>
      </x:font>
      <x:fill>
        <x:patternFill>
          <x:bgColor rgb="FFE2F0D9"/>
        </x:patternFill>
      </x:fill>
    </x:dxf>
    <x:dxf>
      <x:font>
        <x:b/>
        <x:color rgb="FFC0392B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1396e8d48496e" /><Relationship Type="http://schemas.openxmlformats.org/officeDocument/2006/relationships/theme" Target="/xl/theme/theme1.xml" Id="Rb03dcd1cb5ed4a8f" /><Relationship Type="http://schemas.microsoft.com/office/2022/11/relationships/FeaturePropertyBag" Target="/xl/featurePropertyBag/featurePropertyBag.xml" Id="R4b6d83b1d06d4c0a" /><Relationship Type="http://schemas.openxmlformats.org/officeDocument/2006/relationships/sharedStrings" Target="/xl/sharedStrings.xml" Id="Rc745a57ca88f4d7a" /><Relationship Type="http://schemas.openxmlformats.org/officeDocument/2006/relationships/worksheet" Target="/xl/worksheets/sheet1.xml" Id="R71edeb57fe90454c" /><Relationship Type="http://schemas.openxmlformats.org/officeDocument/2006/relationships/worksheet" Target="/xl/worksheets/sheet2.xml" Id="Rc2aad32833a14df5" /><Relationship Type="http://schemas.openxmlformats.org/officeDocument/2006/relationships/worksheet" Target="/xl/worksheets/sheet3.xml" Id="R6c82a48a611d4bb8" /><Relationship Type="http://schemas.openxmlformats.org/officeDocument/2006/relationships/worksheet" Target="/xl/worksheets/sheet4.xml" Id="Racb54f359a2545d5" /><Relationship Type="http://schemas.openxmlformats.org/officeDocument/2006/relationships/worksheet" Target="/xl/worksheets/sheet5.xml" Id="Rbccfe37beae7403b" /><Relationship Type="http://schemas.openxmlformats.org/officeDocument/2006/relationships/worksheet" Target="/xl/worksheets/sheet6.xml" Id="R2e22c919042446ba" /><Relationship Type="http://schemas.microsoft.com/office/2017/10/relationships/person" Target="/xl/persons/person.xml" Id="Rbde7ce10027f43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Dr. Nour Kakouni" id="{5A229720-F977-4ED0-A455-686FE32902C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18" hidden="0" customWidth="1"/>
    <x:col min="4" max="4" width="50" hidden="0" customWidth="1"/>
    <x:col min="5" max="5" width="16" hidden="0" customWidth="1"/>
    <x:col min="6" max="6" width="16" hidden="0" customWidth="1"/>
  </x:cols>
  <x:sheetData>
    <x:row r="1" ht="30" customHeight="1">
      <x:c r="A1" s="30" t="str">
        <x:v>ROOTS-AI™ C-01 Canonical Question Bank v1.0.1</x:v>
      </x:c>
      <x:c r="B1" s="30"/>
      <x:c r="C1" s="30"/>
      <x:c r="D1" s="30"/>
      <x:c r="E1" s="30"/>
      <x:c r="F1" s="30"/>
    </x:row>
    <x:row r="2">
      <x:c r="A2" s="31" t="str">
        <x:v>APPROVED EXECUTABLE DATASET • Exactly 73 questions across exactly 13 ordered modules. Participant-facing English copy is authoritative. This proprietary beta wellness assessment is educational and non-diagnostic; it is not represented as a clinically validated diagnostic instrument.</x:v>
      </x:c>
      <x:c r="B2" s="31"/>
      <x:c r="C2" s="31"/>
      <x:c r="D2" s="31"/>
      <x:c r="E2" s="31"/>
      <x:c r="F2" s="31"/>
    </x:row>
    <x:row r="3">
      <x:c r="A3" s="31"/>
      <x:c r="B3" s="31"/>
      <x:c r="C3" s="31"/>
      <x:c r="D3" s="31"/>
      <x:c r="E3" s="31"/>
      <x:c r="F3" s="31"/>
    </x:row>
    <x:row r="4">
      <x:c r="A4" s="32"/>
      <x:c r="B4" s="32"/>
      <x:c r="C4" s="32"/>
      <x:c r="D4" s="32"/>
      <x:c r="E4" s="32"/>
      <x:c r="F4" s="32"/>
    </x:row>
    <x:row r="5">
      <x:c r="A5" s="33" t="str">
        <x:v>Field</x:v>
      </x:c>
      <x:c r="B5" s="34" t="str">
        <x:v>Value</x:v>
      </x:c>
      <x:c r="C5" s="34" t="str">
        <x:v>Control</x:v>
      </x:c>
      <x:c r="D5" s="34" t="str">
        <x:v>Implementation note</x:v>
      </x:c>
      <x:c r="E5" s="34" t="str">
        <x:v>Owner</x:v>
      </x:c>
      <x:c r="F5" s="35" t="str">
        <x:v>Status</x:v>
      </x:c>
    </x:row>
    <x:row r="6">
      <x:c r="A6" s="36" t="str">
        <x:v>Dataset ID</x:v>
      </x:c>
      <x:c r="B6" s="37" t="str">
        <x:v>ROOTS-C01-QBANK-001</x:v>
      </x:c>
      <x:c r="C6" s="37" t="str">
        <x:v>Immutable</x:v>
      </x:c>
      <x:c r="D6" s="37" t="str">
        <x:v>Load verbatim; do not renumber</x:v>
      </x:c>
      <x:c r="E6" s="37" t="str">
        <x:v>ROOTS</x:v>
      </x:c>
      <x:c r="F6" s="38" t="str">
        <x:v>Approved</x:v>
      </x:c>
    </x:row>
    <x:row r="7">
      <x:c r="A7" s="36" t="str">
        <x:v>questionnaire_version</x:v>
      </x:c>
      <x:c r="B7" s="37" t="str">
        <x:v>1.0.1</x:v>
      </x:c>
      <x:c r="C7" s="37" t="str">
        <x:v>Immutable</x:v>
      </x:c>
      <x:c r="D7" s="37" t="str">
        <x:v>Persist with every response and report</x:v>
      </x:c>
      <x:c r="E7" s="37" t="str">
        <x:v>ROOTS</x:v>
      </x:c>
      <x:c r="F7" s="38" t="str">
        <x:v>Approved</x:v>
      </x:c>
    </x:row>
    <x:row r="8">
      <x:c r="A8" s="36" t="str">
        <x:v>Question count</x:v>
      </x:c>
      <x:c r="B8" s="37" t="n">
        <x:v>73</x:v>
      </x:c>
      <x:c r="C8" s="37" t="str">
        <x:v>Exact</x:v>
      </x:c>
      <x:c r="D8" s="37" t="str">
        <x:v>Automated schema test must equal 73</x:v>
      </x:c>
      <x:c r="E8" s="37" t="str">
        <x:v>ROOTS</x:v>
      </x:c>
      <x:c r="F8" s="38" t="str">
        <x:v>Approved</x:v>
      </x:c>
    </x:row>
    <x:row r="9">
      <x:c r="A9" s="36" t="str">
        <x:v>Module count</x:v>
      </x:c>
      <x:c r="B9" s="37" t="n">
        <x:v>13</x:v>
      </x:c>
      <x:c r="C9" s="37" t="str">
        <x:v>Exact</x:v>
      </x:c>
      <x:c r="D9" s="37" t="str">
        <x:v>Module order 1-13</x:v>
      </x:c>
      <x:c r="E9" s="37" t="str">
        <x:v>ROOTS</x:v>
      </x:c>
      <x:c r="F9" s="38" t="str">
        <x:v>Approved</x:v>
      </x:c>
    </x:row>
    <x:row r="10">
      <x:c r="A10" s="36" t="str">
        <x:v>Language</x:v>
      </x:c>
      <x:c r="B10" s="37" t="str">
        <x:v>English</x:v>
      </x:c>
      <x:c r="C10" s="37" t="str">
        <x:v>Phase 1</x:v>
      </x:c>
      <x:c r="D10" s="37" t="str">
        <x:v>All UI strings stored in i18n resources</x:v>
      </x:c>
      <x:c r="E10" s="37" t="str">
        <x:v>ROOTS</x:v>
      </x:c>
      <x:c r="F10" s="38" t="str">
        <x:v>Approved</x:v>
      </x:c>
    </x:row>
    <x:row r="11">
      <x:c r="A11" s="36" t="str">
        <x:v>Scoring source</x:v>
      </x:c>
      <x:c r="B11" s="37" t="str">
        <x:v>C-02 v1.0.1</x:v>
      </x:c>
      <x:c r="C11" s="37" t="str">
        <x:v>Separate control</x:v>
      </x:c>
      <x:c r="D11" s="37" t="str">
        <x:v>Only questions marked scoring_eligible may score</x:v>
      </x:c>
      <x:c r="E11" s="37" t="str">
        <x:v>ROOTS</x:v>
      </x:c>
      <x:c r="F11" s="38" t="str">
        <x:v>Approved</x:v>
      </x:c>
    </x:row>
    <x:row r="12">
      <x:c r="A12" s="36" t="str">
        <x:v>N/A behavior</x:v>
      </x:c>
      <x:c r="B12" s="37" t="str">
        <x:v>Explicit only</x:v>
      </x:c>
      <x:c r="C12" s="37" t="str">
        <x:v>No inference</x:v>
      </x:c>
      <x:c r="D12" s="37" t="str">
        <x:v>N/A excluded; missing is not N/A</x:v>
      </x:c>
      <x:c r="E12" s="37" t="str">
        <x:v>ROOTS</x:v>
      </x:c>
      <x:c r="F12" s="38" t="str">
        <x:v>Approved</x:v>
      </x:c>
    </x:row>
    <x:row r="13">
      <x:c r="A13" s="39" t="str">
        <x:v>Clinical boundary</x:v>
      </x:c>
      <x:c r="B13" s="40" t="str">
        <x:v>Educational wellness</x:v>
      </x:c>
      <x:c r="C13" s="40" t="str">
        <x:v>Mandatory</x:v>
      </x:c>
      <x:c r="D13" s="40" t="str">
        <x:v>No diagnosis, prognosis or treatment decision</x:v>
      </x:c>
      <x:c r="E13" s="40" t="str">
        <x:v>ROOTS</x:v>
      </x:c>
      <x:c r="F13" s="41" t="str">
        <x:v>Approved</x:v>
      </x:c>
    </x:row>
    <x:row r="14">
      <x:c r="A14" s="32" t="str">
        <x:v>Required-response rule</x:v>
      </x:c>
      <x:c r="B14" s="32" t="str">
        <x:v>Required = valid response or explicit approved N/A</x:v>
      </x:c>
      <x:c r="C14" s="32" t="str">
        <x:v>Mandatory</x:v>
      </x:c>
      <x:c r="D14" s="32" t="str">
        <x:v>Optional questions may remain blank. Required multi-select questions must not accept an empty array.</x:v>
      </x:c>
      <x:c r="E14" s="32" t="str">
        <x:v>ROOTS</x:v>
      </x:c>
      <x:c r="F14" s="32" t="str">
        <x:v>Approved</x:v>
      </x:c>
    </x:row>
    <x:row r="15">
      <x:c r="A15" s="42" t="str">
        <x:v>Implementation sequence: validate workbook checksum → import Modules → import Option_Sets → import Questions → apply Validation → run QA_Checks → publish version 1.0.1.</x:v>
      </x:c>
      <x:c r="B15" s="42"/>
      <x:c r="C15" s="42"/>
      <x:c r="D15" s="42"/>
      <x:c r="E15" s="42"/>
      <x:c r="F15" s="42"/>
    </x:row>
    <x:row r="16">
      <x:c r="A16" s="42"/>
      <x:c r="B16" s="42"/>
      <x:c r="C16" s="42"/>
      <x:c r="D16" s="42"/>
      <x:c r="E16" s="42"/>
      <x:c r="F16" s="42"/>
    </x:row>
    <x:row r="17">
      <x:c r="A17" s="42"/>
      <x:c r="B17" s="42"/>
      <x:c r="C17" s="42"/>
      <x:c r="D17" s="42"/>
      <x:c r="E17" s="42"/>
      <x:c r="F17" s="42"/>
    </x:row>
    <x:row r="18">
      <x:c r="A18" s="42"/>
      <x:c r="B18" s="42"/>
      <x:c r="C18" s="42"/>
      <x:c r="D18" s="42"/>
      <x:c r="E18" s="42"/>
      <x:c r="F18" s="42"/>
    </x:row>
  </x:sheetData>
  <x:mergeCells>
    <x:mergeCell ref="A1:F1"/>
    <x:mergeCell ref="A2:F3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55" hidden="0" customWidth="1"/>
    <x:col min="5" max="5" width="16" hidden="0" customWidth="1"/>
  </x:cols>
  <x:sheetData>
    <x:row r="1" ht="30" customHeight="1">
      <x:c r="A1" s="30" t="str">
        <x:v>13 Ordered Assessment Modules</x:v>
      </x:c>
      <x:c r="B1" s="30"/>
      <x:c r="C1" s="30"/>
      <x:c r="D1" s="30"/>
      <x:c r="E1" s="30"/>
    </x:row>
    <x:row r="2">
      <x:c r="A2" s="31" t="str">
        <x:v>Module IDs, titles and question ranges are immutable for questionnaire version 1.0.1.</x:v>
      </x:c>
      <x:c r="B2" s="31"/>
      <x:c r="C2" s="31"/>
      <x:c r="D2" s="31"/>
      <x:c r="E2" s="31"/>
    </x:row>
    <x:row r="3">
      <x:c r="A3" s="31"/>
      <x:c r="B3" s="31"/>
      <x:c r="C3" s="31"/>
      <x:c r="D3" s="31"/>
      <x:c r="E3" s="31"/>
    </x:row>
    <x:row r="4">
      <x:c r="A4" s="32"/>
      <x:c r="B4" s="32"/>
      <x:c r="C4" s="32"/>
      <x:c r="D4" s="32"/>
      <x:c r="E4" s="32"/>
    </x:row>
    <x:row r="5">
      <x:c r="A5" s="33" t="str">
        <x:v>module_id</x:v>
      </x:c>
      <x:c r="B5" s="34" t="str">
        <x:v>module_order</x:v>
      </x:c>
      <x:c r="C5" s="34" t="str">
        <x:v>module_title</x:v>
      </x:c>
      <x:c r="D5" s="34" t="str">
        <x:v>purpose</x:v>
      </x:c>
      <x:c r="E5" s="35" t="str">
        <x:v>question_range</x:v>
      </x:c>
    </x:row>
    <x:row r="6">
      <x:c r="A6" s="36" t="str">
        <x:v>M01</x:v>
      </x:c>
      <x:c r="B6" s="37" t="n">
        <x:v>1</x:v>
      </x:c>
      <x:c r="C6" s="37" t="str">
        <x:v>Body Foundations</x:v>
      </x:c>
      <x:c r="D6" s="37" t="str">
        <x:v>Profile and physical measurements</x:v>
      </x:c>
      <x:c r="E6" s="38" t="str">
        <x:v>Q1-Q8</x:v>
      </x:c>
    </x:row>
    <x:row r="7">
      <x:c r="A7" s="36" t="str">
        <x:v>M02</x:v>
      </x:c>
      <x:c r="B7" s="37" t="n">
        <x:v>2</x:v>
      </x:c>
      <x:c r="C7" s="37" t="str">
        <x:v>Weight &amp; Metabolic History</x:v>
      </x:c>
      <x:c r="D7" s="37" t="str">
        <x:v>Weight trajectory and metabolic context</x:v>
      </x:c>
      <x:c r="E7" s="38" t="str">
        <x:v>Q9-Q15</x:v>
      </x:c>
    </x:row>
    <x:row r="8">
      <x:c r="A8" s="36" t="str">
        <x:v>M03</x:v>
      </x:c>
      <x:c r="B8" s="37" t="n">
        <x:v>3</x:v>
      </x:c>
      <x:c r="C8" s="37" t="str">
        <x:v>Sleep Recovery Index</x:v>
      </x:c>
      <x:c r="D8" s="37" t="str">
        <x:v>Sleep duration, continuity and restoration</x:v>
      </x:c>
      <x:c r="E8" s="38" t="str">
        <x:v>Q16-Q22</x:v>
      </x:c>
    </x:row>
    <x:row r="9">
      <x:c r="A9" s="36" t="str">
        <x:v>M04</x:v>
      </x:c>
      <x:c r="B9" s="37" t="n">
        <x:v>4</x:v>
      </x:c>
      <x:c r="C9" s="37" t="str">
        <x:v>Hunger &amp; Satiety Signals</x:v>
      </x:c>
      <x:c r="D9" s="37" t="str">
        <x:v>Hunger, fullness, cravings and meal response</x:v>
      </x:c>
      <x:c r="E9" s="38" t="str">
        <x:v>Q23-Q30</x:v>
      </x:c>
    </x:row>
    <x:row r="10">
      <x:c r="A10" s="36" t="str">
        <x:v>M05</x:v>
      </x:c>
      <x:c r="B10" s="37" t="n">
        <x:v>5</x:v>
      </x:c>
      <x:c r="C10" s="37" t="str">
        <x:v>Stress Load &amp; Inflammation Signals</x:v>
      </x:c>
      <x:c r="D10" s="37" t="str">
        <x:v>Stress activation and self-reported symptom burden</x:v>
      </x:c>
      <x:c r="E10" s="38" t="str">
        <x:v>Q31-Q40</x:v>
      </x:c>
    </x:row>
    <x:row r="11">
      <x:c r="A11" s="36" t="str">
        <x:v>M06</x:v>
      </x:c>
      <x:c r="B11" s="37" t="n">
        <x:v>6</x:v>
      </x:c>
      <x:c r="C11" s="37" t="str">
        <x:v>Circadian Health</x:v>
      </x:c>
      <x:c r="D11" s="37" t="str">
        <x:v>Light, screen, meal and sleep timing</x:v>
      </x:c>
      <x:c r="E11" s="38" t="str">
        <x:v>Q41-Q45</x:v>
      </x:c>
    </x:row>
    <x:row r="12">
      <x:c r="A12" s="36" t="str">
        <x:v>M07</x:v>
      </x:c>
      <x:c r="B12" s="37" t="n">
        <x:v>7</x:v>
      </x:c>
      <x:c r="C12" s="37" t="str">
        <x:v>Physical Activity Mapping</x:v>
      </x:c>
      <x:c r="D12" s="37" t="str">
        <x:v>Frequency, duration and activity pattern</x:v>
      </x:c>
      <x:c r="E12" s="38" t="str">
        <x:v>Q46-Q48</x:v>
      </x:c>
    </x:row>
    <x:row r="13">
      <x:c r="A13" s="36" t="str">
        <x:v>M08</x:v>
      </x:c>
      <x:c r="B13" s="37" t="n">
        <x:v>8</x:v>
      </x:c>
      <x:c r="C13" s="37" t="str">
        <x:v>Biological Safety Signals</x:v>
      </x:c>
      <x:c r="D13" s="37" t="str">
        <x:v>Perceived resistance, appetite control and energy</x:v>
      </x:c>
      <x:c r="E13" s="38" t="str">
        <x:v>Q49-Q51</x:v>
      </x:c>
    </x:row>
    <x:row r="14">
      <x:c r="A14" s="36" t="str">
        <x:v>M09</x:v>
      </x:c>
      <x:c r="B14" s="37" t="n">
        <x:v>9</x:v>
      </x:c>
      <x:c r="C14" s="37" t="str">
        <x:v>Root Cause Discovery</x:v>
      </x:c>
      <x:c r="D14" s="37" t="str">
        <x:v>Participant-perceived drivers and caffeine context</x:v>
      </x:c>
      <x:c r="E14" s="38" t="str">
        <x:v>Q52-Q55</x:v>
      </x:c>
    </x:row>
    <x:row r="15">
      <x:c r="A15" s="36" t="str">
        <x:v>M10</x:v>
      </x:c>
      <x:c r="B15" s="37" t="n">
        <x:v>10</x:v>
      </x:c>
      <x:c r="C15" s="37" t="str">
        <x:v>Hormonal &amp; Reproductive Context</x:v>
      </x:c>
      <x:c r="D15" s="37" t="str">
        <x:v>Optional hormonal and reproductive context</x:v>
      </x:c>
      <x:c r="E15" s="38" t="str">
        <x:v>Q56-Q60</x:v>
      </x:c>
    </x:row>
    <x:row r="16">
      <x:c r="A16" s="36" t="str">
        <x:v>M11</x:v>
      </x:c>
      <x:c r="B16" s="37" t="n">
        <x:v>11</x:v>
      </x:c>
      <x:c r="C16" s="37" t="str">
        <x:v>Lifestyle &amp; Environment</x:v>
      </x:c>
      <x:c r="D16" s="37" t="str">
        <x:v>Tobacco, alcohol, eating environment and support</x:v>
      </x:c>
      <x:c r="E16" s="38" t="str">
        <x:v>Q61-Q66</x:v>
      </x:c>
    </x:row>
    <x:row r="17">
      <x:c r="A17" s="36" t="str">
        <x:v>M12</x:v>
      </x:c>
      <x:c r="B17" s="37" t="n">
        <x:v>12</x:v>
      </x:c>
      <x:c r="C17" s="37" t="str">
        <x:v>Goals &amp; Readiness</x:v>
      </x:c>
      <x:c r="D17" s="37" t="str">
        <x:v>Goals, priorities and readiness for change</x:v>
      </x:c>
      <x:c r="E17" s="38" t="str">
        <x:v>Q67-Q71</x:v>
      </x:c>
    </x:row>
    <x:row r="18">
      <x:c r="A18" s="39" t="str">
        <x:v>M13</x:v>
      </x:c>
      <x:c r="B18" s="40" t="n">
        <x:v>13</x:v>
      </x:c>
      <x:c r="C18" s="40" t="str">
        <x:v>Confidence &amp; Additional Context</x:v>
      </x:c>
      <x:c r="D18" s="40" t="str">
        <x:v>Response confidence and optional participant context</x:v>
      </x:c>
      <x:c r="E18" s="41" t="str">
        <x:v>Q72-Q73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  <x:col min="7" max="7" width="20" hidden="0" customWidth="1"/>
    <x:col min="8" max="8" width="20" hidden="0" customWidth="1"/>
    <x:col min="9" max="9" width="12" hidden="0" customWidth="1"/>
    <x:col min="10" max="10" width="12" hidden="0" customWidth="1"/>
    <x:col min="11" max="11" width="38" hidden="0" customWidth="1"/>
    <x:col min="12" max="12" width="16" hidden="0" customWidth="1"/>
    <x:col min="13" max="13" width="28" hidden="0" customWidth="1"/>
    <x:col min="14" max="14" width="48" hidden="0" customWidth="1"/>
    <x:col min="15" max="15" width="14" hidden="0" customWidth="1"/>
  </x:cols>
  <x:sheetData>
    <x:row r="1" ht="30" customHeight="1">
      <x:c r="A1" s="30" t="str">
        <x:v>Canonical Questions — 73 Records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31" t="str">
        <x:v>Required/allow_na are explicit booleans. option_set_id refers to Option_Sets. conditional_logic is explicitly NONE because Phase 1 presents all 73 questions; Q57/Q59 allow N/A instead of being hidden.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</x:row>
    <x:row r="5">
      <x:c r="A5" s="33" t="str">
        <x:v>questionnaire_version</x:v>
      </x:c>
      <x:c r="B5" s="34" t="str">
        <x:v>module_id</x:v>
      </x:c>
      <x:c r="C5" s="34" t="str">
        <x:v>module_order</x:v>
      </x:c>
      <x:c r="D5" s="34" t="str">
        <x:v>question_id</x:v>
      </x:c>
      <x:c r="E5" s="34" t="str">
        <x:v>question_order</x:v>
      </x:c>
      <x:c r="F5" s="34" t="str">
        <x:v>question_text</x:v>
      </x:c>
      <x:c r="G5" s="34" t="str">
        <x:v>question_type</x:v>
      </x:c>
      <x:c r="H5" s="34" t="str">
        <x:v>option_set_id</x:v>
      </x:c>
      <x:c r="I5" s="34" t="str">
        <x:v>required</x:v>
      </x:c>
      <x:c r="J5" s="34" t="str">
        <x:v>allow_na</x:v>
      </x:c>
      <x:c r="K5" s="34" t="str">
        <x:v>validation</x:v>
      </x:c>
      <x:c r="L5" s="34" t="str">
        <x:v>scoring_eligible</x:v>
      </x:c>
      <x:c r="M5" s="34" t="str">
        <x:v>conditional_logic</x:v>
      </x:c>
      <x:c r="N5" s="34" t="str">
        <x:v>help_text</x:v>
      </x:c>
      <x:c r="O5" s="35" t="str">
        <x:v>status</x:v>
      </x:c>
    </x:row>
    <x:row r="6">
      <x:c r="A6" s="36" t="str">
        <x:v>1.0.1</x:v>
      </x:c>
      <x:c r="B6" s="37" t="str">
        <x:v>M01</x:v>
      </x:c>
      <x:c r="C6" s="37" t="n">
        <x:v>1</x:v>
      </x:c>
      <x:c r="D6" s="37" t="str">
        <x:v>Q1</x:v>
      </x:c>
      <x:c r="E6" s="37" t="n">
        <x:v>1</x:v>
      </x:c>
      <x:c r="F6" s="37" t="str">
        <x:v>What is your age?</x:v>
      </x:c>
      <x:c r="G6" s="37" t="str">
        <x:v>integer</x:v>
      </x:c>
      <x:c r="H6" s="37" t="str"/>
      <x:c r="I6" s="43" t="b">
        <x:v>1</x:v>
      </x:c>
      <x:c r="J6" s="43" t="b">
        <x:v>0</x:v>
      </x:c>
      <x:c r="K6" s="37" t="str">
        <x:v>16-110 years; launch eligibility defaults to 18+</x:v>
      </x:c>
      <x:c r="L6" s="43" t="b">
        <x:v>0</x:v>
      </x:c>
      <x:c r="M6" s="37" t="str">
        <x:v>NONE</x:v>
      </x:c>
      <x:c r="N6" s="37" t="str">
        <x:v>Enter your age in completed years.</x:v>
      </x:c>
      <x:c r="O6" s="38" t="str">
        <x:v>APPROVED</x:v>
      </x:c>
    </x:row>
    <x:row r="7">
      <x:c r="A7" s="36" t="str">
        <x:v>1.0.1</x:v>
      </x:c>
      <x:c r="B7" s="37" t="str">
        <x:v>M01</x:v>
      </x:c>
      <x:c r="C7" s="37" t="n">
        <x:v>1</x:v>
      </x:c>
      <x:c r="D7" s="37" t="str">
        <x:v>Q2</x:v>
      </x:c>
      <x:c r="E7" s="37" t="n">
        <x:v>2</x:v>
      </x:c>
      <x:c r="F7" s="37" t="str">
        <x:v>What sex were you assigned at birth?</x:v>
      </x:c>
      <x:c r="G7" s="37" t="str">
        <x:v>single_select</x:v>
      </x:c>
      <x:c r="H7" s="37" t="str">
        <x:v>SEX</x:v>
      </x:c>
      <x:c r="I7" s="43" t="b">
        <x:v>1</x:v>
      </x:c>
      <x:c r="J7" s="43" t="b">
        <x:v>0</x:v>
      </x:c>
      <x:c r="K7" s="37" t="str">
        <x:v>Approved option ID only</x:v>
      </x:c>
      <x:c r="L7" s="43" t="b">
        <x:v>0</x:v>
      </x:c>
      <x:c r="M7" s="37" t="str">
        <x:v>NONE</x:v>
      </x:c>
      <x:c r="N7" s="37" t="str">
        <x:v>Used for context only; it does not change scores.</x:v>
      </x:c>
      <x:c r="O7" s="38" t="str">
        <x:v>APPROVED</x:v>
      </x:c>
    </x:row>
    <x:row r="8">
      <x:c r="A8" s="36" t="str">
        <x:v>1.0.1</x:v>
      </x:c>
      <x:c r="B8" s="37" t="str">
        <x:v>M01</x:v>
      </x:c>
      <x:c r="C8" s="37" t="n">
        <x:v>1</x:v>
      </x:c>
      <x:c r="D8" s="37" t="str">
        <x:v>Q3</x:v>
      </x:c>
      <x:c r="E8" s="37" t="n">
        <x:v>3</x:v>
      </x:c>
      <x:c r="F8" s="37" t="str">
        <x:v>What is your height?</x:v>
      </x:c>
      <x:c r="G8" s="37" t="str">
        <x:v>decimal</x:v>
      </x:c>
      <x:c r="H8" s="37" t="str"/>
      <x:c r="I8" s="43" t="b">
        <x:v>1</x:v>
      </x:c>
      <x:c r="J8" s="43" t="b">
        <x:v>0</x:v>
      </x:c>
      <x:c r="K8" s="37" t="str">
        <x:v>100-250 cm</x:v>
      </x:c>
      <x:c r="L8" s="43" t="b">
        <x:v>0</x:v>
      </x:c>
      <x:c r="M8" s="37" t="str">
        <x:v>NONE</x:v>
      </x:c>
      <x:c r="N8" s="37" t="str">
        <x:v>Enter height in centimetres.</x:v>
      </x:c>
      <x:c r="O8" s="38" t="str">
        <x:v>APPROVED</x:v>
      </x:c>
    </x:row>
    <x:row r="9">
      <x:c r="A9" s="36" t="str">
        <x:v>1.0.1</x:v>
      </x:c>
      <x:c r="B9" s="37" t="str">
        <x:v>M01</x:v>
      </x:c>
      <x:c r="C9" s="37" t="n">
        <x:v>1</x:v>
      </x:c>
      <x:c r="D9" s="37" t="str">
        <x:v>Q4</x:v>
      </x:c>
      <x:c r="E9" s="37" t="n">
        <x:v>4</x:v>
      </x:c>
      <x:c r="F9" s="37" t="str">
        <x:v>What is your current weight?</x:v>
      </x:c>
      <x:c r="G9" s="37" t="str">
        <x:v>decimal</x:v>
      </x:c>
      <x:c r="H9" s="37" t="str"/>
      <x:c r="I9" s="43" t="b">
        <x:v>1</x:v>
      </x:c>
      <x:c r="J9" s="43" t="b">
        <x:v>0</x:v>
      </x:c>
      <x:c r="K9" s="37" t="str">
        <x:v>25-350 kg</x:v>
      </x:c>
      <x:c r="L9" s="43" t="b">
        <x:v>0</x:v>
      </x:c>
      <x:c r="M9" s="37" t="str">
        <x:v>NONE</x:v>
      </x:c>
      <x:c r="N9" s="37" t="str">
        <x:v>Enter weight in kilograms.</x:v>
      </x:c>
      <x:c r="O9" s="38" t="str">
        <x:v>APPROVED</x:v>
      </x:c>
    </x:row>
    <x:row r="10">
      <x:c r="A10" s="36" t="str">
        <x:v>1.0.1</x:v>
      </x:c>
      <x:c r="B10" s="37" t="str">
        <x:v>M01</x:v>
      </x:c>
      <x:c r="C10" s="37" t="n">
        <x:v>1</x:v>
      </x:c>
      <x:c r="D10" s="37" t="str">
        <x:v>Q5</x:v>
      </x:c>
      <x:c r="E10" s="37" t="n">
        <x:v>5</x:v>
      </x:c>
      <x:c r="F10" s="37" t="str">
        <x:v>What is your target weight, if you have one?</x:v>
      </x:c>
      <x:c r="G10" s="37" t="str">
        <x:v>decimal</x:v>
      </x:c>
      <x:c r="H10" s="37" t="str"/>
      <x:c r="I10" s="43" t="b">
        <x:v>0</x:v>
      </x:c>
      <x:c r="J10" s="43" t="b">
        <x:v>1</x:v>
      </x:c>
      <x:c r="K10" s="37" t="str">
        <x:v>25-350 kg or N/A</x:v>
      </x:c>
      <x:c r="L10" s="43" t="b">
        <x:v>0</x:v>
      </x:c>
      <x:c r="M10" s="37" t="str">
        <x:v>NONE</x:v>
      </x:c>
      <x:c r="N10" s="37" t="str">
        <x:v>Optional; this does not affect scoring.</x:v>
      </x:c>
      <x:c r="O10" s="38" t="str">
        <x:v>APPROVED</x:v>
      </x:c>
    </x:row>
    <x:row r="11">
      <x:c r="A11" s="36" t="str">
        <x:v>1.0.1</x:v>
      </x:c>
      <x:c r="B11" s="37" t="str">
        <x:v>M01</x:v>
      </x:c>
      <x:c r="C11" s="37" t="n">
        <x:v>1</x:v>
      </x:c>
      <x:c r="D11" s="37" t="str">
        <x:v>Q6</x:v>
      </x:c>
      <x:c r="E11" s="37" t="n">
        <x:v>6</x:v>
      </x:c>
      <x:c r="F11" s="37" t="str">
        <x:v>What is your waist circumference?</x:v>
      </x:c>
      <x:c r="G11" s="37" t="str">
        <x:v>decimal_with_unit</x:v>
      </x:c>
      <x:c r="H11" s="37" t="str">
        <x:v>WAIST_UNIT</x:v>
      </x:c>
      <x:c r="I11" s="43" t="b">
        <x:v>1</x:v>
      </x:c>
      <x:c r="J11" s="43" t="b">
        <x:v>0</x:v>
      </x:c>
      <x:c r="K11" s="37" t="str">
        <x:v>40-200 cm after conversion; inches x 2.54</x:v>
      </x:c>
      <x:c r="L11" s="43" t="b">
        <x:v>0</x:v>
      </x:c>
      <x:c r="M11" s="37" t="str">
        <x:v>NONE</x:v>
      </x:c>
      <x:c r="N11" s="37" t="str">
        <x:v>Measure around the midpoint between the lowest rib and top of the hip bone.</x:v>
      </x:c>
      <x:c r="O11" s="38" t="str">
        <x:v>APPROVED</x:v>
      </x:c>
    </x:row>
    <x:row r="12">
      <x:c r="A12" s="36" t="str">
        <x:v>1.0.1</x:v>
      </x:c>
      <x:c r="B12" s="37" t="str">
        <x:v>M01</x:v>
      </x:c>
      <x:c r="C12" s="37" t="n">
        <x:v>1</x:v>
      </x:c>
      <x:c r="D12" s="37" t="str">
        <x:v>Q7</x:v>
      </x:c>
      <x:c r="E12" s="37" t="n">
        <x:v>7</x:v>
      </x:c>
      <x:c r="F12" s="37" t="str">
        <x:v>How long have you been near your current weight?</x:v>
      </x:c>
      <x:c r="G12" s="37" t="str">
        <x:v>single_select</x:v>
      </x:c>
      <x:c r="H12" s="37" t="str">
        <x:v>WEIGHT_DURATION</x:v>
      </x:c>
      <x:c r="I12" s="43" t="b">
        <x:v>1</x:v>
      </x:c>
      <x:c r="J12" s="43" t="b">
        <x:v>1</x:v>
      </x:c>
      <x:c r="K12" s="37" t="str">
        <x:v>Approved option ID only</x:v>
      </x:c>
      <x:c r="L12" s="43" t="b">
        <x:v>0</x:v>
      </x:c>
      <x:c r="M12" s="37" t="str">
        <x:v>NONE</x:v>
      </x:c>
      <x:c r="N12" s="37" t="str"/>
      <x:c r="O12" s="38" t="str">
        <x:v>APPROVED</x:v>
      </x:c>
    </x:row>
    <x:row r="13">
      <x:c r="A13" s="36" t="str">
        <x:v>1.0.1</x:v>
      </x:c>
      <x:c r="B13" s="37" t="str">
        <x:v>M01</x:v>
      </x:c>
      <x:c r="C13" s="37" t="n">
        <x:v>1</x:v>
      </x:c>
      <x:c r="D13" s="37" t="str">
        <x:v>Q8</x:v>
      </x:c>
      <x:c r="E13" s="37" t="n">
        <x:v>8</x:v>
      </x:c>
      <x:c r="F13" s="37" t="str">
        <x:v>How would you describe your weight pattern over the last five years?</x:v>
      </x:c>
      <x:c r="G13" s="37" t="str">
        <x:v>single_select</x:v>
      </x:c>
      <x:c r="H13" s="37" t="str">
        <x:v>WEIGHT_PATTERN</x:v>
      </x:c>
      <x:c r="I13" s="43" t="b">
        <x:v>1</x:v>
      </x:c>
      <x:c r="J13" s="43" t="b">
        <x:v>1</x:v>
      </x:c>
      <x:c r="K13" s="37" t="str">
        <x:v>Approved option ID only</x:v>
      </x:c>
      <x:c r="L13" s="43" t="b">
        <x:v>0</x:v>
      </x:c>
      <x:c r="M13" s="37" t="str">
        <x:v>NONE</x:v>
      </x:c>
      <x:c r="N13" s="37" t="str"/>
      <x:c r="O13" s="38" t="str">
        <x:v>APPROVED</x:v>
      </x:c>
    </x:row>
    <x:row r="14">
      <x:c r="A14" s="36" t="str">
        <x:v>1.0.1</x:v>
      </x:c>
      <x:c r="B14" s="37" t="str">
        <x:v>M02</x:v>
      </x:c>
      <x:c r="C14" s="37" t="n">
        <x:v>2</x:v>
      </x:c>
      <x:c r="D14" s="37" t="str">
        <x:v>Q9</x:v>
      </x:c>
      <x:c r="E14" s="37" t="n">
        <x:v>9</x:v>
      </x:c>
      <x:c r="F14" s="37" t="str">
        <x:v>How did the weight change that concerns you begin?</x:v>
      </x:c>
      <x:c r="G14" s="37" t="str">
        <x:v>single_select</x:v>
      </x:c>
      <x:c r="H14" s="37" t="str">
        <x:v>GAIN_PATTERN</x:v>
      </x:c>
      <x:c r="I14" s="43" t="b">
        <x:v>1</x:v>
      </x:c>
      <x:c r="J14" s="43" t="b">
        <x:v>1</x:v>
      </x:c>
      <x:c r="K14" s="37" t="str">
        <x:v>Approved option ID only</x:v>
      </x:c>
      <x:c r="L14" s="43" t="b">
        <x:v>1</x:v>
      </x:c>
      <x:c r="M14" s="37" t="str">
        <x:v>NONE</x:v>
      </x:c>
      <x:c r="N14" s="37" t="str"/>
      <x:c r="O14" s="38" t="str">
        <x:v>APPROVED</x:v>
      </x:c>
    </x:row>
    <x:row r="15">
      <x:c r="A15" s="36" t="str">
        <x:v>1.0.1</x:v>
      </x:c>
      <x:c r="B15" s="37" t="str">
        <x:v>M02</x:v>
      </x:c>
      <x:c r="C15" s="37" t="n">
        <x:v>2</x:v>
      </x:c>
      <x:c r="D15" s="37" t="str">
        <x:v>Q10</x:v>
      </x:c>
      <x:c r="E15" s="37" t="n">
        <x:v>10</x:v>
      </x:c>
      <x:c r="F15" s="37" t="str">
        <x:v>How often have well-planned diet or activity efforts produced less change than you expected?</x:v>
      </x:c>
      <x:c r="G15" s="37" t="str">
        <x:v>likert</x:v>
      </x:c>
      <x:c r="H15" s="37" t="str">
        <x:v>FREQ</x:v>
      </x:c>
      <x:c r="I15" s="43" t="b">
        <x:v>1</x:v>
      </x:c>
      <x:c r="J15" s="43" t="b">
        <x:v>1</x:v>
      </x:c>
      <x:c r="K15" s="37" t="str">
        <x:v>0-4 or N/A</x:v>
      </x:c>
      <x:c r="L15" s="43" t="b">
        <x:v>1</x:v>
      </x:c>
      <x:c r="M15" s="37" t="str">
        <x:v>NONE</x:v>
      </x:c>
      <x:c r="N15" s="37" t="str"/>
      <x:c r="O15" s="38" t="str">
        <x:v>APPROVED</x:v>
      </x:c>
    </x:row>
    <x:row r="16">
      <x:c r="A16" s="36" t="str">
        <x:v>1.0.1</x:v>
      </x:c>
      <x:c r="B16" s="37" t="str">
        <x:v>M02</x:v>
      </x:c>
      <x:c r="C16" s="37" t="n">
        <x:v>2</x:v>
      </x:c>
      <x:c r="D16" s="37" t="str">
        <x:v>Q11</x:v>
      </x:c>
      <x:c r="E16" s="37" t="n">
        <x:v>11</x:v>
      </x:c>
      <x:c r="F16" s="37" t="str">
        <x:v>After an intentional weight loss, how often has some or all of the weight returned?</x:v>
      </x:c>
      <x:c r="G16" s="37" t="str">
        <x:v>likert</x:v>
      </x:c>
      <x:c r="H16" s="37" t="str">
        <x:v>FREQ</x:v>
      </x:c>
      <x:c r="I16" s="43" t="b">
        <x:v>1</x:v>
      </x:c>
      <x:c r="J16" s="43" t="b">
        <x:v>1</x:v>
      </x:c>
      <x:c r="K16" s="37" t="str">
        <x:v>0-4 or N/A</x:v>
      </x:c>
      <x:c r="L16" s="43" t="b">
        <x:v>1</x:v>
      </x:c>
      <x:c r="M16" s="37" t="str">
        <x:v>NONE</x:v>
      </x:c>
      <x:c r="N16" s="37" t="str"/>
      <x:c r="O16" s="38" t="str">
        <x:v>APPROVED</x:v>
      </x:c>
    </x:row>
    <x:row r="17">
      <x:c r="A17" s="36" t="str">
        <x:v>1.0.1</x:v>
      </x:c>
      <x:c r="B17" s="37" t="str">
        <x:v>M02</x:v>
      </x:c>
      <x:c r="C17" s="37" t="n">
        <x:v>2</x:v>
      </x:c>
      <x:c r="D17" s="37" t="str">
        <x:v>Q12</x:v>
      </x:c>
      <x:c r="E17" s="37" t="n">
        <x:v>12</x:v>
      </x:c>
      <x:c r="F17" s="37" t="str">
        <x:v>How many meaningful cycles of weight loss and regain have you experienced?</x:v>
      </x:c>
      <x:c r="G17" s="37" t="str">
        <x:v>single_select</x:v>
      </x:c>
      <x:c r="H17" s="37" t="str">
        <x:v>WEIGHT_CYCLES</x:v>
      </x:c>
      <x:c r="I17" s="43" t="b">
        <x:v>1</x:v>
      </x:c>
      <x:c r="J17" s="43" t="b">
        <x:v>1</x:v>
      </x:c>
      <x:c r="K17" s="37" t="str">
        <x:v>Approved option ID only</x:v>
      </x:c>
      <x:c r="L17" s="43" t="b">
        <x:v>1</x:v>
      </x:c>
      <x:c r="M17" s="37" t="str">
        <x:v>NONE</x:v>
      </x:c>
      <x:c r="N17" s="37" t="str"/>
      <x:c r="O17" s="38" t="str">
        <x:v>APPROVED</x:v>
      </x:c>
    </x:row>
    <x:row r="18">
      <x:c r="A18" s="36" t="str">
        <x:v>1.0.1</x:v>
      </x:c>
      <x:c r="B18" s="37" t="str">
        <x:v>M02</x:v>
      </x:c>
      <x:c r="C18" s="37" t="n">
        <x:v>2</x:v>
      </x:c>
      <x:c r="D18" s="37" t="str">
        <x:v>Q13</x:v>
      </x:c>
      <x:c r="E18" s="37" t="n">
        <x:v>13</x:v>
      </x:c>
      <x:c r="F18" s="37" t="str">
        <x:v>Have you been told by a clinician that you have any of the following?</x:v>
      </x:c>
      <x:c r="G18" s="37" t="str">
        <x:v>multi_select</x:v>
      </x:c>
      <x:c r="H18" s="37" t="str">
        <x:v>CONDITIONS</x:v>
      </x:c>
      <x:c r="I18" s="43" t="b">
        <x:v>1</x:v>
      </x:c>
      <x:c r="J18" s="43" t="b">
        <x:v>1</x:v>
      </x:c>
      <x:c r="K18" s="37" t="str">
        <x:v>One or more approved option IDs required; empty array invalid; NONE/NA exclusive where provided</x:v>
      </x:c>
      <x:c r="L18" s="43" t="b">
        <x:v>0</x:v>
      </x:c>
      <x:c r="M18" s="37" t="str">
        <x:v>NONE</x:v>
      </x:c>
      <x:c r="N18" s="37" t="str">
        <x:v>Select all that apply. This is contextual and does not diagnose or score a condition.</x:v>
      </x:c>
      <x:c r="O18" s="38" t="str">
        <x:v>APPROVED</x:v>
      </x:c>
    </x:row>
    <x:row r="19">
      <x:c r="A19" s="36" t="str">
        <x:v>1.0.1</x:v>
      </x:c>
      <x:c r="B19" s="37" t="str">
        <x:v>M02</x:v>
      </x:c>
      <x:c r="C19" s="37" t="n">
        <x:v>2</x:v>
      </x:c>
      <x:c r="D19" s="37" t="str">
        <x:v>Q14</x:v>
      </x:c>
      <x:c r="E19" s="37" t="n">
        <x:v>14</x:v>
      </x:c>
      <x:c r="F19" s="37" t="str">
        <x:v>Are you currently using medicines that may relate to metabolism, appetite, weight or hormones?</x:v>
      </x:c>
      <x:c r="G19" s="37" t="str">
        <x:v>multi_select</x:v>
      </x:c>
      <x:c r="H19" s="37" t="str">
        <x:v>MEDICATION_CONTEXT</x:v>
      </x:c>
      <x:c r="I19" s="43" t="b">
        <x:v>1</x:v>
      </x:c>
      <x:c r="J19" s="43" t="b">
        <x:v>1</x:v>
      </x:c>
      <x:c r="K19" s="37" t="str">
        <x:v>One or more approved option IDs required; empty array invalid; NONE/NA exclusive where provided</x:v>
      </x:c>
      <x:c r="L19" s="43" t="b">
        <x:v>0</x:v>
      </x:c>
      <x:c r="M19" s="37" t="str">
        <x:v>NONE</x:v>
      </x:c>
      <x:c r="N19" s="37" t="str">
        <x:v>Select categories only; do not enter doses here.</x:v>
      </x:c>
      <x:c r="O19" s="38" t="str">
        <x:v>APPROVED</x:v>
      </x:c>
    </x:row>
    <x:row r="20">
      <x:c r="A20" s="36" t="str">
        <x:v>1.0.1</x:v>
      </x:c>
      <x:c r="B20" s="37" t="str">
        <x:v>M02</x:v>
      </x:c>
      <x:c r="C20" s="37" t="n">
        <x:v>2</x:v>
      </x:c>
      <x:c r="D20" s="37" t="str">
        <x:v>Q15</x:v>
      </x:c>
      <x:c r="E20" s="37" t="n">
        <x:v>15</x:v>
      </x:c>
      <x:c r="F20" s="37" t="str">
        <x:v>Does a first-degree relative have a history of type 2 diabetes or substantial weight-related metabolic difficulty?</x:v>
      </x:c>
      <x:c r="G20" s="37" t="str">
        <x:v>single_select</x:v>
      </x:c>
      <x:c r="H20" s="37" t="str">
        <x:v>YES_NO_UNSURE</x:v>
      </x:c>
      <x:c r="I20" s="43" t="b">
        <x:v>1</x:v>
      </x:c>
      <x:c r="J20" s="43" t="b">
        <x:v>1</x:v>
      </x:c>
      <x:c r="K20" s="37" t="str">
        <x:v>Approved option ID only</x:v>
      </x:c>
      <x:c r="L20" s="43" t="b">
        <x:v>0</x:v>
      </x:c>
      <x:c r="M20" s="37" t="str">
        <x:v>NONE</x:v>
      </x:c>
      <x:c r="N20" s="37" t="str"/>
      <x:c r="O20" s="38" t="str">
        <x:v>APPROVED</x:v>
      </x:c>
    </x:row>
    <x:row r="21">
      <x:c r="A21" s="36" t="str">
        <x:v>1.0.1</x:v>
      </x:c>
      <x:c r="B21" s="37" t="str">
        <x:v>M03</x:v>
      </x:c>
      <x:c r="C21" s="37" t="n">
        <x:v>3</x:v>
      </x:c>
      <x:c r="D21" s="37" t="str">
        <x:v>Q16</x:v>
      </x:c>
      <x:c r="E21" s="37" t="n">
        <x:v>16</x:v>
      </x:c>
      <x:c r="F21" s="37" t="str">
        <x:v>How many hours of sleep do you typically get in a 24-hour period?</x:v>
      </x:c>
      <x:c r="G21" s="37" t="str">
        <x:v>single_select</x:v>
      </x:c>
      <x:c r="H21" s="37" t="str">
        <x:v>SLEEP_HOURS</x:v>
      </x:c>
      <x:c r="I21" s="43" t="b">
        <x:v>1</x:v>
      </x:c>
      <x:c r="J21" s="43" t="b">
        <x:v>1</x:v>
      </x:c>
      <x:c r="K21" s="37" t="str">
        <x:v>Approved option ID only</x:v>
      </x:c>
      <x:c r="L21" s="43" t="b">
        <x:v>1</x:v>
      </x:c>
      <x:c r="M21" s="37" t="str">
        <x:v>NONE</x:v>
      </x:c>
      <x:c r="N21" s="37" t="str"/>
      <x:c r="O21" s="38" t="str">
        <x:v>APPROVED</x:v>
      </x:c>
    </x:row>
    <x:row r="22">
      <x:c r="A22" s="36" t="str">
        <x:v>1.0.1</x:v>
      </x:c>
      <x:c r="B22" s="37" t="str">
        <x:v>M03</x:v>
      </x:c>
      <x:c r="C22" s="37" t="n">
        <x:v>3</x:v>
      </x:c>
      <x:c r="D22" s="37" t="str">
        <x:v>Q17</x:v>
      </x:c>
      <x:c r="E22" s="37" t="n">
        <x:v>17</x:v>
      </x:c>
      <x:c r="F22" s="37" t="str">
        <x:v>How often do you feel tired even after what seemed like enough time in bed?</x:v>
      </x:c>
      <x:c r="G22" s="37" t="str">
        <x:v>likert</x:v>
      </x:c>
      <x:c r="H22" s="37" t="str">
        <x:v>FREQ</x:v>
      </x:c>
      <x:c r="I22" s="43" t="b">
        <x:v>1</x:v>
      </x:c>
      <x:c r="J22" s="43" t="b">
        <x:v>1</x:v>
      </x:c>
      <x:c r="K22" s="37" t="str">
        <x:v>0-4 or N/A</x:v>
      </x:c>
      <x:c r="L22" s="43" t="b">
        <x:v>1</x:v>
      </x:c>
      <x:c r="M22" s="37" t="str">
        <x:v>NONE</x:v>
      </x:c>
      <x:c r="N22" s="37" t="str"/>
      <x:c r="O22" s="38" t="str">
        <x:v>APPROVED</x:v>
      </x:c>
    </x:row>
    <x:row r="23">
      <x:c r="A23" s="36" t="str">
        <x:v>1.0.1</x:v>
      </x:c>
      <x:c r="B23" s="37" t="str">
        <x:v>M03</x:v>
      </x:c>
      <x:c r="C23" s="37" t="n">
        <x:v>3</x:v>
      </x:c>
      <x:c r="D23" s="37" t="str">
        <x:v>Q18</x:v>
      </x:c>
      <x:c r="E23" s="37" t="n">
        <x:v>18</x:v>
      </x:c>
      <x:c r="F23" s="37" t="str">
        <x:v>How often do you wake during the night and struggle to return to sleep?</x:v>
      </x:c>
      <x:c r="G23" s="37" t="str">
        <x:v>likert</x:v>
      </x:c>
      <x:c r="H23" s="37" t="str">
        <x:v>FREQ</x:v>
      </x:c>
      <x:c r="I23" s="43" t="b">
        <x:v>1</x:v>
      </x:c>
      <x:c r="J23" s="43" t="b">
        <x:v>1</x:v>
      </x:c>
      <x:c r="K23" s="37" t="str">
        <x:v>0-4 or N/A</x:v>
      </x:c>
      <x:c r="L23" s="43" t="b">
        <x:v>1</x:v>
      </x:c>
      <x:c r="M23" s="37" t="str">
        <x:v>NONE</x:v>
      </x:c>
      <x:c r="N23" s="37" t="str"/>
      <x:c r="O23" s="38" t="str">
        <x:v>APPROVED</x:v>
      </x:c>
    </x:row>
    <x:row r="24">
      <x:c r="A24" s="36" t="str">
        <x:v>1.0.1</x:v>
      </x:c>
      <x:c r="B24" s="37" t="str">
        <x:v>M03</x:v>
      </x:c>
      <x:c r="C24" s="37" t="n">
        <x:v>3</x:v>
      </x:c>
      <x:c r="D24" s="37" t="str">
        <x:v>Q19</x:v>
      </x:c>
      <x:c r="E24" s="37" t="n">
        <x:v>19</x:v>
      </x:c>
      <x:c r="F24" s="37" t="str">
        <x:v>How often is your bedtime after midnight?</x:v>
      </x:c>
      <x:c r="G24" s="37" t="str">
        <x:v>likert</x:v>
      </x:c>
      <x:c r="H24" s="37" t="str">
        <x:v>FREQ</x:v>
      </x:c>
      <x:c r="I24" s="43" t="b">
        <x:v>1</x:v>
      </x:c>
      <x:c r="J24" s="43" t="b">
        <x:v>1</x:v>
      </x:c>
      <x:c r="K24" s="37" t="str">
        <x:v>0-4 or N/A</x:v>
      </x:c>
      <x:c r="L24" s="43" t="b">
        <x:v>1</x:v>
      </x:c>
      <x:c r="M24" s="37" t="str">
        <x:v>NONE</x:v>
      </x:c>
      <x:c r="N24" s="37" t="str"/>
      <x:c r="O24" s="38" t="str">
        <x:v>APPROVED</x:v>
      </x:c>
    </x:row>
    <x:row r="25">
      <x:c r="A25" s="36" t="str">
        <x:v>1.0.1</x:v>
      </x:c>
      <x:c r="B25" s="37" t="str">
        <x:v>M03</x:v>
      </x:c>
      <x:c r="C25" s="37" t="n">
        <x:v>3</x:v>
      </x:c>
      <x:c r="D25" s="37" t="str">
        <x:v>Q20</x:v>
      </x:c>
      <x:c r="E25" s="37" t="n">
        <x:v>20</x:v>
      </x:c>
      <x:c r="F25" s="37" t="str">
        <x:v>How often do you remain awake until 2:00 AM or later because you cannot settle to sleep?</x:v>
      </x:c>
      <x:c r="G25" s="37" t="str">
        <x:v>likert</x:v>
      </x:c>
      <x:c r="H25" s="37" t="str">
        <x:v>FREQ</x:v>
      </x:c>
      <x:c r="I25" s="43" t="b">
        <x:v>1</x:v>
      </x:c>
      <x:c r="J25" s="43" t="b">
        <x:v>1</x:v>
      </x:c>
      <x:c r="K25" s="37" t="str">
        <x:v>0-4 or N/A</x:v>
      </x:c>
      <x:c r="L25" s="43" t="b">
        <x:v>1</x:v>
      </x:c>
      <x:c r="M25" s="37" t="str">
        <x:v>NONE</x:v>
      </x:c>
      <x:c r="N25" s="37" t="str"/>
      <x:c r="O25" s="38" t="str">
        <x:v>APPROVED</x:v>
      </x:c>
    </x:row>
    <x:row r="26">
      <x:c r="A26" s="36" t="str">
        <x:v>1.0.1</x:v>
      </x:c>
      <x:c r="B26" s="37" t="str">
        <x:v>M03</x:v>
      </x:c>
      <x:c r="C26" s="37" t="n">
        <x:v>3</x:v>
      </x:c>
      <x:c r="D26" s="37" t="str">
        <x:v>Q21</x:v>
      </x:c>
      <x:c r="E26" s="37" t="n">
        <x:v>21</x:v>
      </x:c>
      <x:c r="F26" s="37" t="str">
        <x:v>How often do you snore loudly, wake gasping, or receive feedback that your breathing pauses during sleep?</x:v>
      </x:c>
      <x:c r="G26" s="37" t="str">
        <x:v>likert</x:v>
      </x:c>
      <x:c r="H26" s="37" t="str">
        <x:v>FREQ</x:v>
      </x:c>
      <x:c r="I26" s="43" t="b">
        <x:v>1</x:v>
      </x:c>
      <x:c r="J26" s="43" t="b">
        <x:v>1</x:v>
      </x:c>
      <x:c r="K26" s="37" t="str">
        <x:v>0-4 or N/A</x:v>
      </x:c>
      <x:c r="L26" s="43" t="b">
        <x:v>1</x:v>
      </x:c>
      <x:c r="M26" s="37" t="str">
        <x:v>NONE</x:v>
      </x:c>
      <x:c r="N26" s="37" t="str">
        <x:v>This is not a diagnosis. Seek professional assessment if this occurs often.</x:v>
      </x:c>
      <x:c r="O26" s="38" t="str">
        <x:v>APPROVED</x:v>
      </x:c>
    </x:row>
    <x:row r="27">
      <x:c r="A27" s="36" t="str">
        <x:v>1.0.1</x:v>
      </x:c>
      <x:c r="B27" s="37" t="str">
        <x:v>M03</x:v>
      </x:c>
      <x:c r="C27" s="37" t="n">
        <x:v>3</x:v>
      </x:c>
      <x:c r="D27" s="37" t="str">
        <x:v>Q22</x:v>
      </x:c>
      <x:c r="E27" s="37" t="n">
        <x:v>22</x:v>
      </x:c>
      <x:c r="F27" s="37" t="str">
        <x:v>How often do you experience a marked afternoon energy crash?</x:v>
      </x:c>
      <x:c r="G27" s="37" t="str">
        <x:v>likert</x:v>
      </x:c>
      <x:c r="H27" s="37" t="str">
        <x:v>FREQ</x:v>
      </x:c>
      <x:c r="I27" s="43" t="b">
        <x:v>1</x:v>
      </x:c>
      <x:c r="J27" s="43" t="b">
        <x:v>1</x:v>
      </x:c>
      <x:c r="K27" s="37" t="str">
        <x:v>0-4 or N/A</x:v>
      </x:c>
      <x:c r="L27" s="43" t="b">
        <x:v>1</x:v>
      </x:c>
      <x:c r="M27" s="37" t="str">
        <x:v>NONE</x:v>
      </x:c>
      <x:c r="N27" s="37" t="str"/>
      <x:c r="O27" s="38" t="str">
        <x:v>APPROVED</x:v>
      </x:c>
    </x:row>
    <x:row r="28">
      <x:c r="A28" s="36" t="str">
        <x:v>1.0.1</x:v>
      </x:c>
      <x:c r="B28" s="37" t="str">
        <x:v>M04</x:v>
      </x:c>
      <x:c r="C28" s="37" t="n">
        <x:v>4</x:v>
      </x:c>
      <x:c r="D28" s="37" t="str">
        <x:v>Q23</x:v>
      </x:c>
      <x:c r="E28" s="37" t="n">
        <x:v>23</x:v>
      </x:c>
      <x:c r="F28" s="37" t="str">
        <x:v>How often do you feel physically hungry within two hours after a full meal?</x:v>
      </x:c>
      <x:c r="G28" s="37" t="str">
        <x:v>likert</x:v>
      </x:c>
      <x:c r="H28" s="37" t="str">
        <x:v>FREQ</x:v>
      </x:c>
      <x:c r="I28" s="43" t="b">
        <x:v>1</x:v>
      </x:c>
      <x:c r="J28" s="43" t="b">
        <x:v>1</x:v>
      </x:c>
      <x:c r="K28" s="37" t="str">
        <x:v>0-4 or N/A</x:v>
      </x:c>
      <x:c r="L28" s="43" t="b">
        <x:v>1</x:v>
      </x:c>
      <x:c r="M28" s="37" t="str">
        <x:v>NONE</x:v>
      </x:c>
      <x:c r="N28" s="37" t="str"/>
      <x:c r="O28" s="38" t="str">
        <x:v>APPROVED</x:v>
      </x:c>
    </x:row>
    <x:row r="29">
      <x:c r="A29" s="36" t="str">
        <x:v>1.0.1</x:v>
      </x:c>
      <x:c r="B29" s="37" t="str">
        <x:v>M04</x:v>
      </x:c>
      <x:c r="C29" s="37" t="n">
        <x:v>4</x:v>
      </x:c>
      <x:c r="D29" s="37" t="str">
        <x:v>Q24</x:v>
      </x:c>
      <x:c r="E29" s="37" t="n">
        <x:v>24</x:v>
      </x:c>
      <x:c r="F29" s="37" t="str">
        <x:v>How often do you experience food cravings when you are not physically hungry?</x:v>
      </x:c>
      <x:c r="G29" s="37" t="str">
        <x:v>likert</x:v>
      </x:c>
      <x:c r="H29" s="37" t="str">
        <x:v>FREQ</x:v>
      </x:c>
      <x:c r="I29" s="43" t="b">
        <x:v>1</x:v>
      </x:c>
      <x:c r="J29" s="43" t="b">
        <x:v>1</x:v>
      </x:c>
      <x:c r="K29" s="37" t="str">
        <x:v>0-4 or N/A</x:v>
      </x:c>
      <x:c r="L29" s="43" t="b">
        <x:v>1</x:v>
      </x:c>
      <x:c r="M29" s="37" t="str">
        <x:v>NONE</x:v>
      </x:c>
      <x:c r="N29" s="37" t="str"/>
      <x:c r="O29" s="38" t="str">
        <x:v>APPROVED</x:v>
      </x:c>
    </x:row>
    <x:row r="30">
      <x:c r="A30" s="36" t="str">
        <x:v>1.0.1</x:v>
      </x:c>
      <x:c r="B30" s="37" t="str">
        <x:v>M04</x:v>
      </x:c>
      <x:c r="C30" s="37" t="n">
        <x:v>4</x:v>
      </x:c>
      <x:c r="D30" s="37" t="str">
        <x:v>Q25</x:v>
      </x:c>
      <x:c r="E30" s="37" t="n">
        <x:v>25</x:v>
      </x:c>
      <x:c r="F30" s="37" t="str">
        <x:v>How often do you eat enough but still fail to feel comfortably full?</x:v>
      </x:c>
      <x:c r="G30" s="37" t="str">
        <x:v>likert</x:v>
      </x:c>
      <x:c r="H30" s="37" t="str">
        <x:v>FREQ</x:v>
      </x:c>
      <x:c r="I30" s="43" t="b">
        <x:v>1</x:v>
      </x:c>
      <x:c r="J30" s="43" t="b">
        <x:v>1</x:v>
      </x:c>
      <x:c r="K30" s="37" t="str">
        <x:v>0-4 or N/A</x:v>
      </x:c>
      <x:c r="L30" s="43" t="b">
        <x:v>1</x:v>
      </x:c>
      <x:c r="M30" s="37" t="str">
        <x:v>NONE</x:v>
      </x:c>
      <x:c r="N30" s="37" t="str"/>
      <x:c r="O30" s="38" t="str">
        <x:v>APPROVED</x:v>
      </x:c>
    </x:row>
    <x:row r="31">
      <x:c r="A31" s="36" t="str">
        <x:v>1.0.1</x:v>
      </x:c>
      <x:c r="B31" s="37" t="str">
        <x:v>M04</x:v>
      </x:c>
      <x:c r="C31" s="37" t="n">
        <x:v>4</x:v>
      </x:c>
      <x:c r="D31" s="37" t="str">
        <x:v>Q26</x:v>
      </x:c>
      <x:c r="E31" s="37" t="n">
        <x:v>26</x:v>
      </x:c>
      <x:c r="F31" s="37" t="str">
        <x:v>How often do you feel comfortably full after a normal meal?</x:v>
      </x:c>
      <x:c r="G31" s="37" t="str">
        <x:v>likert</x:v>
      </x:c>
      <x:c r="H31" s="37" t="str">
        <x:v>FREQ</x:v>
      </x:c>
      <x:c r="I31" s="43" t="b">
        <x:v>1</x:v>
      </x:c>
      <x:c r="J31" s="43" t="b">
        <x:v>1</x:v>
      </x:c>
      <x:c r="K31" s="37" t="str">
        <x:v>0-4 or N/A</x:v>
      </x:c>
      <x:c r="L31" s="43" t="b">
        <x:v>1</x:v>
      </x:c>
      <x:c r="M31" s="37" t="str">
        <x:v>NONE</x:v>
      </x:c>
      <x:c r="N31" s="37" t="str">
        <x:v>Protective wording; reverse-scored.</x:v>
      </x:c>
      <x:c r="O31" s="38" t="str">
        <x:v>APPROVED</x:v>
      </x:c>
    </x:row>
    <x:row r="32">
      <x:c r="A32" s="36" t="str">
        <x:v>1.0.1</x:v>
      </x:c>
      <x:c r="B32" s="37" t="str">
        <x:v>M04</x:v>
      </x:c>
      <x:c r="C32" s="37" t="n">
        <x:v>4</x:v>
      </x:c>
      <x:c r="D32" s="37" t="str">
        <x:v>Q27</x:v>
      </x:c>
      <x:c r="E32" s="37" t="n">
        <x:v>27</x:v>
      </x:c>
      <x:c r="F32" s="37" t="str">
        <x:v>How often are you hungry again three to four hours after a protein-rich meal?</x:v>
      </x:c>
      <x:c r="G32" s="37" t="str">
        <x:v>likert</x:v>
      </x:c>
      <x:c r="H32" s="37" t="str">
        <x:v>FREQ</x:v>
      </x:c>
      <x:c r="I32" s="43" t="b">
        <x:v>1</x:v>
      </x:c>
      <x:c r="J32" s="43" t="b">
        <x:v>1</x:v>
      </x:c>
      <x:c r="K32" s="37" t="str">
        <x:v>0-4 or N/A</x:v>
      </x:c>
      <x:c r="L32" s="43" t="b">
        <x:v>1</x:v>
      </x:c>
      <x:c r="M32" s="37" t="str">
        <x:v>NONE</x:v>
      </x:c>
      <x:c r="N32" s="37" t="str"/>
      <x:c r="O32" s="38" t="str">
        <x:v>APPROVED</x:v>
      </x:c>
    </x:row>
    <x:row r="33">
      <x:c r="A33" s="36" t="str">
        <x:v>1.0.1</x:v>
      </x:c>
      <x:c r="B33" s="37" t="str">
        <x:v>M04</x:v>
      </x:c>
      <x:c r="C33" s="37" t="n">
        <x:v>4</x:v>
      </x:c>
      <x:c r="D33" s="37" t="str">
        <x:v>Q28</x:v>
      </x:c>
      <x:c r="E33" s="37" t="n">
        <x:v>28</x:v>
      </x:c>
      <x:c r="F33" s="37" t="str">
        <x:v>How often does a protein-rich meal keep you satisfied for four hours or longer?</x:v>
      </x:c>
      <x:c r="G33" s="37" t="str">
        <x:v>likert</x:v>
      </x:c>
      <x:c r="H33" s="37" t="str">
        <x:v>FREQ</x:v>
      </x:c>
      <x:c r="I33" s="43" t="b">
        <x:v>1</x:v>
      </x:c>
      <x:c r="J33" s="43" t="b">
        <x:v>1</x:v>
      </x:c>
      <x:c r="K33" s="37" t="str">
        <x:v>0-4 or N/A</x:v>
      </x:c>
      <x:c r="L33" s="43" t="b">
        <x:v>1</x:v>
      </x:c>
      <x:c r="M33" s="37" t="str">
        <x:v>NONE</x:v>
      </x:c>
      <x:c r="N33" s="37" t="str">
        <x:v>Protective wording; reverse-scored.</x:v>
      </x:c>
      <x:c r="O33" s="38" t="str">
        <x:v>APPROVED</x:v>
      </x:c>
    </x:row>
    <x:row r="34">
      <x:c r="A34" s="36" t="str">
        <x:v>1.0.1</x:v>
      </x:c>
      <x:c r="B34" s="37" t="str">
        <x:v>M04</x:v>
      </x:c>
      <x:c r="C34" s="37" t="n">
        <x:v>4</x:v>
      </x:c>
      <x:c r="D34" s="37" t="str">
        <x:v>Q29</x:v>
      </x:c>
      <x:c r="E34" s="37" t="n">
        <x:v>29</x:v>
      </x:c>
      <x:c r="F34" s="37" t="str">
        <x:v>How often do you feel sleepy, foggy or low in energy after a main meal?</x:v>
      </x:c>
      <x:c r="G34" s="37" t="str">
        <x:v>likert</x:v>
      </x:c>
      <x:c r="H34" s="37" t="str">
        <x:v>FREQ</x:v>
      </x:c>
      <x:c r="I34" s="43" t="b">
        <x:v>1</x:v>
      </x:c>
      <x:c r="J34" s="43" t="b">
        <x:v>1</x:v>
      </x:c>
      <x:c r="K34" s="37" t="str">
        <x:v>0-4 or N/A</x:v>
      </x:c>
      <x:c r="L34" s="43" t="b">
        <x:v>1</x:v>
      </x:c>
      <x:c r="M34" s="37" t="str">
        <x:v>NONE</x:v>
      </x:c>
      <x:c r="N34" s="37" t="str"/>
      <x:c r="O34" s="38" t="str">
        <x:v>APPROVED</x:v>
      </x:c>
    </x:row>
    <x:row r="35">
      <x:c r="A35" s="36" t="str">
        <x:v>1.0.1</x:v>
      </x:c>
      <x:c r="B35" s="37" t="str">
        <x:v>M04</x:v>
      </x:c>
      <x:c r="C35" s="37" t="n">
        <x:v>4</x:v>
      </x:c>
      <x:c r="D35" s="37" t="str">
        <x:v>Q30</x:v>
      </x:c>
      <x:c r="E35" s="37" t="n">
        <x:v>30</x:v>
      </x:c>
      <x:c r="F35" s="37" t="str">
        <x:v>When you start eating sweets or snack foods, how often is it difficult to stop at the amount you intended?</x:v>
      </x:c>
      <x:c r="G35" s="37" t="str">
        <x:v>likert</x:v>
      </x:c>
      <x:c r="H35" s="37" t="str">
        <x:v>FREQ</x:v>
      </x:c>
      <x:c r="I35" s="43" t="b">
        <x:v>1</x:v>
      </x:c>
      <x:c r="J35" s="43" t="b">
        <x:v>1</x:v>
      </x:c>
      <x:c r="K35" s="37" t="str">
        <x:v>0-4 or N/A</x:v>
      </x:c>
      <x:c r="L35" s="43" t="b">
        <x:v>1</x:v>
      </x:c>
      <x:c r="M35" s="37" t="str">
        <x:v>NONE</x:v>
      </x:c>
      <x:c r="N35" s="37" t="str"/>
      <x:c r="O35" s="38" t="str">
        <x:v>APPROVED</x:v>
      </x:c>
    </x:row>
    <x:row r="36">
      <x:c r="A36" s="36" t="str">
        <x:v>1.0.1</x:v>
      </x:c>
      <x:c r="B36" s="37" t="str">
        <x:v>M05</x:v>
      </x:c>
      <x:c r="C36" s="37" t="n">
        <x:v>5</x:v>
      </x:c>
      <x:c r="D36" s="37" t="str">
        <x:v>Q31</x:v>
      </x:c>
      <x:c r="E36" s="37" t="n">
        <x:v>31</x:v>
      </x:c>
      <x:c r="F36" s="37" t="str">
        <x:v>How often do you feel persistent physical tension or stress?</x:v>
      </x:c>
      <x:c r="G36" s="37" t="str">
        <x:v>likert</x:v>
      </x:c>
      <x:c r="H36" s="37" t="str">
        <x:v>FREQ</x:v>
      </x:c>
      <x:c r="I36" s="43" t="b">
        <x:v>1</x:v>
      </x:c>
      <x:c r="J36" s="43" t="b">
        <x:v>1</x:v>
      </x:c>
      <x:c r="K36" s="37" t="str">
        <x:v>0-4 or N/A</x:v>
      </x:c>
      <x:c r="L36" s="43" t="b">
        <x:v>1</x:v>
      </x:c>
      <x:c r="M36" s="37" t="str">
        <x:v>NONE</x:v>
      </x:c>
      <x:c r="N36" s="37" t="str"/>
      <x:c r="O36" s="38" t="str">
        <x:v>APPROVED</x:v>
      </x:c>
    </x:row>
    <x:row r="37">
      <x:c r="A37" s="36" t="str">
        <x:v>1.0.1</x:v>
      </x:c>
      <x:c r="B37" s="37" t="str">
        <x:v>M05</x:v>
      </x:c>
      <x:c r="C37" s="37" t="n">
        <x:v>5</x:v>
      </x:c>
      <x:c r="D37" s="37" t="str">
        <x:v>Q32</x:v>
      </x:c>
      <x:c r="E37" s="37" t="n">
        <x:v>32</x:v>
      </x:c>
      <x:c r="F37" s="37" t="str">
        <x:v>How often does stress increase your desire to eat?</x:v>
      </x:c>
      <x:c r="G37" s="37" t="str">
        <x:v>likert</x:v>
      </x:c>
      <x:c r="H37" s="37" t="str">
        <x:v>FREQ</x:v>
      </x:c>
      <x:c r="I37" s="43" t="b">
        <x:v>1</x:v>
      </x:c>
      <x:c r="J37" s="43" t="b">
        <x:v>1</x:v>
      </x:c>
      <x:c r="K37" s="37" t="str">
        <x:v>0-4 or N/A</x:v>
      </x:c>
      <x:c r="L37" s="43" t="b">
        <x:v>1</x:v>
      </x:c>
      <x:c r="M37" s="37" t="str">
        <x:v>NONE</x:v>
      </x:c>
      <x:c r="N37" s="37" t="str"/>
      <x:c r="O37" s="38" t="str">
        <x:v>APPROVED</x:v>
      </x:c>
    </x:row>
    <x:row r="38">
      <x:c r="A38" s="36" t="str">
        <x:v>1.0.1</x:v>
      </x:c>
      <x:c r="B38" s="37" t="str">
        <x:v>M05</x:v>
      </x:c>
      <x:c r="C38" s="37" t="n">
        <x:v>5</x:v>
      </x:c>
      <x:c r="D38" s="37" t="str">
        <x:v>Q33</x:v>
      </x:c>
      <x:c r="E38" s="37" t="n">
        <x:v>33</x:v>
      </x:c>
      <x:c r="F38" s="37" t="str">
        <x:v>How often does your mind race when you are trying to sleep?</x:v>
      </x:c>
      <x:c r="G38" s="37" t="str">
        <x:v>likert</x:v>
      </x:c>
      <x:c r="H38" s="37" t="str">
        <x:v>FREQ</x:v>
      </x:c>
      <x:c r="I38" s="43" t="b">
        <x:v>1</x:v>
      </x:c>
      <x:c r="J38" s="43" t="b">
        <x:v>1</x:v>
      </x:c>
      <x:c r="K38" s="37" t="str">
        <x:v>0-4 or N/A</x:v>
      </x:c>
      <x:c r="L38" s="43" t="b">
        <x:v>1</x:v>
      </x:c>
      <x:c r="M38" s="37" t="str">
        <x:v>NONE</x:v>
      </x:c>
      <x:c r="N38" s="37" t="str"/>
      <x:c r="O38" s="38" t="str">
        <x:v>APPROVED</x:v>
      </x:c>
    </x:row>
    <x:row r="39">
      <x:c r="A39" s="36" t="str">
        <x:v>1.0.1</x:v>
      </x:c>
      <x:c r="B39" s="37" t="str">
        <x:v>M05</x:v>
      </x:c>
      <x:c r="C39" s="37" t="n">
        <x:v>5</x:v>
      </x:c>
      <x:c r="D39" s="37" t="str">
        <x:v>Q34</x:v>
      </x:c>
      <x:c r="E39" s="37" t="n">
        <x:v>34</x:v>
      </x:c>
      <x:c r="F39" s="37" t="str">
        <x:v>How often are cravings noticeably stronger in the evening?</x:v>
      </x:c>
      <x:c r="G39" s="37" t="str">
        <x:v>likert</x:v>
      </x:c>
      <x:c r="H39" s="37" t="str">
        <x:v>FREQ</x:v>
      </x:c>
      <x:c r="I39" s="43" t="b">
        <x:v>1</x:v>
      </x:c>
      <x:c r="J39" s="43" t="b">
        <x:v>1</x:v>
      </x:c>
      <x:c r="K39" s="37" t="str">
        <x:v>0-4 or N/A</x:v>
      </x:c>
      <x:c r="L39" s="43" t="b">
        <x:v>1</x:v>
      </x:c>
      <x:c r="M39" s="37" t="str">
        <x:v>NONE</x:v>
      </x:c>
      <x:c r="N39" s="37" t="str"/>
      <x:c r="O39" s="38" t="str">
        <x:v>APPROVED</x:v>
      </x:c>
    </x:row>
    <x:row r="40">
      <x:c r="A40" s="36" t="str">
        <x:v>1.0.1</x:v>
      </x:c>
      <x:c r="B40" s="37" t="str">
        <x:v>M05</x:v>
      </x:c>
      <x:c r="C40" s="37" t="n">
        <x:v>5</x:v>
      </x:c>
      <x:c r="D40" s="37" t="str">
        <x:v>Q35</x:v>
      </x:c>
      <x:c r="E40" s="37" t="n">
        <x:v>35</x:v>
      </x:c>
      <x:c r="F40" s="37" t="str">
        <x:v>How often do you experience bloating, gas or digestive discomfort?</x:v>
      </x:c>
      <x:c r="G40" s="37" t="str">
        <x:v>likert</x:v>
      </x:c>
      <x:c r="H40" s="37" t="str">
        <x:v>FREQ</x:v>
      </x:c>
      <x:c r="I40" s="43" t="b">
        <x:v>1</x:v>
      </x:c>
      <x:c r="J40" s="43" t="b">
        <x:v>1</x:v>
      </x:c>
      <x:c r="K40" s="37" t="str">
        <x:v>0-4 or N/A</x:v>
      </x:c>
      <x:c r="L40" s="43" t="b">
        <x:v>1</x:v>
      </x:c>
      <x:c r="M40" s="37" t="str">
        <x:v>NONE</x:v>
      </x:c>
      <x:c r="N40" s="37" t="str"/>
      <x:c r="O40" s="38" t="str">
        <x:v>APPROVED</x:v>
      </x:c>
    </x:row>
    <x:row r="41">
      <x:c r="A41" s="36" t="str">
        <x:v>1.0.1</x:v>
      </x:c>
      <x:c r="B41" s="37" t="str">
        <x:v>M05</x:v>
      </x:c>
      <x:c r="C41" s="37" t="n">
        <x:v>5</x:v>
      </x:c>
      <x:c r="D41" s="37" t="str">
        <x:v>Q36</x:v>
      </x:c>
      <x:c r="E41" s="37" t="n">
        <x:v>36</x:v>
      </x:c>
      <x:c r="F41" s="37" t="str">
        <x:v>How often do you experience brain fog after meals?</x:v>
      </x:c>
      <x:c r="G41" s="37" t="str">
        <x:v>likert</x:v>
      </x:c>
      <x:c r="H41" s="37" t="str">
        <x:v>FREQ</x:v>
      </x:c>
      <x:c r="I41" s="43" t="b">
        <x:v>1</x:v>
      </x:c>
      <x:c r="J41" s="43" t="b">
        <x:v>1</x:v>
      </x:c>
      <x:c r="K41" s="37" t="str">
        <x:v>0-4 or N/A</x:v>
      </x:c>
      <x:c r="L41" s="43" t="b">
        <x:v>1</x:v>
      </x:c>
      <x:c r="M41" s="37" t="str">
        <x:v>NONE</x:v>
      </x:c>
      <x:c r="N41" s="37" t="str"/>
      <x:c r="O41" s="38" t="str">
        <x:v>APPROVED</x:v>
      </x:c>
    </x:row>
    <x:row r="42">
      <x:c r="A42" s="36" t="str">
        <x:v>1.0.1</x:v>
      </x:c>
      <x:c r="B42" s="37" t="str">
        <x:v>M05</x:v>
      </x:c>
      <x:c r="C42" s="37" t="n">
        <x:v>5</x:v>
      </x:c>
      <x:c r="D42" s="37" t="str">
        <x:v>Q37</x:v>
      </x:c>
      <x:c r="E42" s="37" t="n">
        <x:v>37</x:v>
      </x:c>
      <x:c r="F42" s="37" t="str">
        <x:v>How often do you experience unexplained joint pain or stiffness?</x:v>
      </x:c>
      <x:c r="G42" s="37" t="str">
        <x:v>likert</x:v>
      </x:c>
      <x:c r="H42" s="37" t="str">
        <x:v>FREQ</x:v>
      </x:c>
      <x:c r="I42" s="43" t="b">
        <x:v>1</x:v>
      </x:c>
      <x:c r="J42" s="43" t="b">
        <x:v>1</x:v>
      </x:c>
      <x:c r="K42" s="37" t="str">
        <x:v>0-4 or N/A</x:v>
      </x:c>
      <x:c r="L42" s="43" t="b">
        <x:v>1</x:v>
      </x:c>
      <x:c r="M42" s="37" t="str">
        <x:v>NONE</x:v>
      </x:c>
      <x:c r="N42" s="37" t="str"/>
      <x:c r="O42" s="38" t="str">
        <x:v>APPROVED</x:v>
      </x:c>
    </x:row>
    <x:row r="43">
      <x:c r="A43" s="36" t="str">
        <x:v>1.0.1</x:v>
      </x:c>
      <x:c r="B43" s="37" t="str">
        <x:v>M05</x:v>
      </x:c>
      <x:c r="C43" s="37" t="n">
        <x:v>5</x:v>
      </x:c>
      <x:c r="D43" s="37" t="str">
        <x:v>Q38</x:v>
      </x:c>
      <x:c r="E43" s="37" t="n">
        <x:v>38</x:v>
      </x:c>
      <x:c r="F43" s="37" t="str">
        <x:v>How often does fat around your waist seem resistant to your usual efforts?</x:v>
      </x:c>
      <x:c r="G43" s="37" t="str">
        <x:v>likert</x:v>
      </x:c>
      <x:c r="H43" s="37" t="str">
        <x:v>FREQ</x:v>
      </x:c>
      <x:c r="I43" s="43" t="b">
        <x:v>1</x:v>
      </x:c>
      <x:c r="J43" s="43" t="b">
        <x:v>1</x:v>
      </x:c>
      <x:c r="K43" s="37" t="str">
        <x:v>0-4 or N/A</x:v>
      </x:c>
      <x:c r="L43" s="43" t="b">
        <x:v>1</x:v>
      </x:c>
      <x:c r="M43" s="37" t="str">
        <x:v>NONE</x:v>
      </x:c>
      <x:c r="N43" s="37" t="str"/>
      <x:c r="O43" s="38" t="str">
        <x:v>APPROVED</x:v>
      </x:c>
    </x:row>
    <x:row r="44">
      <x:c r="A44" s="36" t="str">
        <x:v>1.0.1</x:v>
      </x:c>
      <x:c r="B44" s="37" t="str">
        <x:v>M05</x:v>
      </x:c>
      <x:c r="C44" s="37" t="n">
        <x:v>5</x:v>
      </x:c>
      <x:c r="D44" s="37" t="str">
        <x:v>Q39</x:v>
      </x:c>
      <x:c r="E44" s="37" t="n">
        <x:v>39</x:v>
      </x:c>
      <x:c r="F44" s="37" t="str">
        <x:v>How often do you experience unusual thirst or a dry mouth?</x:v>
      </x:c>
      <x:c r="G44" s="37" t="str">
        <x:v>likert</x:v>
      </x:c>
      <x:c r="H44" s="37" t="str">
        <x:v>FREQ</x:v>
      </x:c>
      <x:c r="I44" s="43" t="b">
        <x:v>1</x:v>
      </x:c>
      <x:c r="J44" s="43" t="b">
        <x:v>1</x:v>
      </x:c>
      <x:c r="K44" s="37" t="str">
        <x:v>0-4 or N/A</x:v>
      </x:c>
      <x:c r="L44" s="43" t="b">
        <x:v>1</x:v>
      </x:c>
      <x:c r="M44" s="37" t="str">
        <x:v>NONE</x:v>
      </x:c>
      <x:c r="N44" s="37" t="str">
        <x:v>Persistent excessive thirst should be discussed with a clinician.</x:v>
      </x:c>
      <x:c r="O44" s="38" t="str">
        <x:v>APPROVED</x:v>
      </x:c>
    </x:row>
    <x:row r="45">
      <x:c r="A45" s="36" t="str">
        <x:v>1.0.1</x:v>
      </x:c>
      <x:c r="B45" s="37" t="str">
        <x:v>M05</x:v>
      </x:c>
      <x:c r="C45" s="37" t="n">
        <x:v>5</x:v>
      </x:c>
      <x:c r="D45" s="37" t="str">
        <x:v>Q40</x:v>
      </x:c>
      <x:c r="E45" s="37" t="n">
        <x:v>40</x:v>
      </x:c>
      <x:c r="F45" s="37" t="str">
        <x:v>How often have reducing calories and increasing activity produced little sustained change?</x:v>
      </x:c>
      <x:c r="G45" s="37" t="str">
        <x:v>likert</x:v>
      </x:c>
      <x:c r="H45" s="37" t="str">
        <x:v>FREQ</x:v>
      </x:c>
      <x:c r="I45" s="43" t="b">
        <x:v>1</x:v>
      </x:c>
      <x:c r="J45" s="43" t="b">
        <x:v>1</x:v>
      </x:c>
      <x:c r="K45" s="37" t="str">
        <x:v>0-4 or N/A</x:v>
      </x:c>
      <x:c r="L45" s="43" t="b">
        <x:v>1</x:v>
      </x:c>
      <x:c r="M45" s="37" t="str">
        <x:v>NONE</x:v>
      </x:c>
      <x:c r="N45" s="37" t="str"/>
      <x:c r="O45" s="38" t="str">
        <x:v>APPROVED</x:v>
      </x:c>
    </x:row>
    <x:row r="46">
      <x:c r="A46" s="36" t="str">
        <x:v>1.0.1</x:v>
      </x:c>
      <x:c r="B46" s="37" t="str">
        <x:v>M06</x:v>
      </x:c>
      <x:c r="C46" s="37" t="n">
        <x:v>6</x:v>
      </x:c>
      <x:c r="D46" s="37" t="str">
        <x:v>Q41</x:v>
      </x:c>
      <x:c r="E46" s="37" t="n">
        <x:v>41</x:v>
      </x:c>
      <x:c r="F46" s="37" t="str">
        <x:v>How often do you spend the first hour after waking indoors without natural daylight exposure?</x:v>
      </x:c>
      <x:c r="G46" s="37" t="str">
        <x:v>likert</x:v>
      </x:c>
      <x:c r="H46" s="37" t="str">
        <x:v>FREQ</x:v>
      </x:c>
      <x:c r="I46" s="43" t="b">
        <x:v>1</x:v>
      </x:c>
      <x:c r="J46" s="43" t="b">
        <x:v>1</x:v>
      </x:c>
      <x:c r="K46" s="37" t="str">
        <x:v>0-4 or N/A</x:v>
      </x:c>
      <x:c r="L46" s="43" t="b">
        <x:v>1</x:v>
      </x:c>
      <x:c r="M46" s="37" t="str">
        <x:v>NONE</x:v>
      </x:c>
      <x:c r="N46" s="37" t="str"/>
      <x:c r="O46" s="38" t="str">
        <x:v>APPROVED</x:v>
      </x:c>
    </x:row>
    <x:row r="47">
      <x:c r="A47" s="36" t="str">
        <x:v>1.0.1</x:v>
      </x:c>
      <x:c r="B47" s="37" t="str">
        <x:v>M06</x:v>
      </x:c>
      <x:c r="C47" s="37" t="n">
        <x:v>6</x:v>
      </x:c>
      <x:c r="D47" s="37" t="str">
        <x:v>Q42</x:v>
      </x:c>
      <x:c r="E47" s="37" t="n">
        <x:v>42</x:v>
      </x:c>
      <x:c r="F47" s="37" t="str">
        <x:v>How often do you use a phone, tablet or computer during the final hour before sleep?</x:v>
      </x:c>
      <x:c r="G47" s="37" t="str">
        <x:v>likert</x:v>
      </x:c>
      <x:c r="H47" s="37" t="str">
        <x:v>FREQ</x:v>
      </x:c>
      <x:c r="I47" s="43" t="b">
        <x:v>1</x:v>
      </x:c>
      <x:c r="J47" s="43" t="b">
        <x:v>1</x:v>
      </x:c>
      <x:c r="K47" s="37" t="str">
        <x:v>0-4 or N/A</x:v>
      </x:c>
      <x:c r="L47" s="43" t="b">
        <x:v>1</x:v>
      </x:c>
      <x:c r="M47" s="37" t="str">
        <x:v>NONE</x:v>
      </x:c>
      <x:c r="N47" s="37" t="str"/>
      <x:c r="O47" s="38" t="str">
        <x:v>APPROVED</x:v>
      </x:c>
    </x:row>
    <x:row r="48">
      <x:c r="A48" s="36" t="str">
        <x:v>1.0.1</x:v>
      </x:c>
      <x:c r="B48" s="37" t="str">
        <x:v>M06</x:v>
      </x:c>
      <x:c r="C48" s="37" t="n">
        <x:v>6</x:v>
      </x:c>
      <x:c r="D48" s="37" t="str">
        <x:v>Q43</x:v>
      </x:c>
      <x:c r="E48" s="37" t="n">
        <x:v>43</x:v>
      </x:c>
      <x:c r="F48" s="37" t="str">
        <x:v>How often do you eat within three hours of bedtime?</x:v>
      </x:c>
      <x:c r="G48" s="37" t="str">
        <x:v>likert</x:v>
      </x:c>
      <x:c r="H48" s="37" t="str">
        <x:v>FREQ</x:v>
      </x:c>
      <x:c r="I48" s="43" t="b">
        <x:v>1</x:v>
      </x:c>
      <x:c r="J48" s="43" t="b">
        <x:v>1</x:v>
      </x:c>
      <x:c r="K48" s="37" t="str">
        <x:v>0-4 or N/A</x:v>
      </x:c>
      <x:c r="L48" s="43" t="b">
        <x:v>1</x:v>
      </x:c>
      <x:c r="M48" s="37" t="str">
        <x:v>NONE</x:v>
      </x:c>
      <x:c r="N48" s="37" t="str"/>
      <x:c r="O48" s="38" t="str">
        <x:v>APPROVED</x:v>
      </x:c>
    </x:row>
    <x:row r="49">
      <x:c r="A49" s="36" t="str">
        <x:v>1.0.1</x:v>
      </x:c>
      <x:c r="B49" s="37" t="str">
        <x:v>M06</x:v>
      </x:c>
      <x:c r="C49" s="37" t="n">
        <x:v>6</x:v>
      </x:c>
      <x:c r="D49" s="37" t="str">
        <x:v>Q44</x:v>
      </x:c>
      <x:c r="E49" s="37" t="n">
        <x:v>44</x:v>
      </x:c>
      <x:c r="F49" s="37" t="str">
        <x:v>How often does your sleep schedule vary by more than two hours across the week?</x:v>
      </x:c>
      <x:c r="G49" s="37" t="str">
        <x:v>likert</x:v>
      </x:c>
      <x:c r="H49" s="37" t="str">
        <x:v>FREQ</x:v>
      </x:c>
      <x:c r="I49" s="43" t="b">
        <x:v>1</x:v>
      </x:c>
      <x:c r="J49" s="43" t="b">
        <x:v>1</x:v>
      </x:c>
      <x:c r="K49" s="37" t="str">
        <x:v>0-4 or N/A</x:v>
      </x:c>
      <x:c r="L49" s="43" t="b">
        <x:v>1</x:v>
      </x:c>
      <x:c r="M49" s="37" t="str">
        <x:v>NONE</x:v>
      </x:c>
      <x:c r="N49" s="37" t="str"/>
      <x:c r="O49" s="38" t="str">
        <x:v>APPROVED</x:v>
      </x:c>
    </x:row>
    <x:row r="50">
      <x:c r="A50" s="36" t="str">
        <x:v>1.0.1</x:v>
      </x:c>
      <x:c r="B50" s="37" t="str">
        <x:v>M06</x:v>
      </x:c>
      <x:c r="C50" s="37" t="n">
        <x:v>6</x:v>
      </x:c>
      <x:c r="D50" s="37" t="str">
        <x:v>Q45</x:v>
      </x:c>
      <x:c r="E50" s="37" t="n">
        <x:v>45</x:v>
      </x:c>
      <x:c r="F50" s="37" t="str">
        <x:v>How often do you feel more alert late at night than during the morning?</x:v>
      </x:c>
      <x:c r="G50" s="37" t="str">
        <x:v>likert</x:v>
      </x:c>
      <x:c r="H50" s="37" t="str">
        <x:v>FREQ</x:v>
      </x:c>
      <x:c r="I50" s="43" t="b">
        <x:v>1</x:v>
      </x:c>
      <x:c r="J50" s="43" t="b">
        <x:v>1</x:v>
      </x:c>
      <x:c r="K50" s="37" t="str">
        <x:v>0-4 or N/A</x:v>
      </x:c>
      <x:c r="L50" s="43" t="b">
        <x:v>1</x:v>
      </x:c>
      <x:c r="M50" s="37" t="str">
        <x:v>NONE</x:v>
      </x:c>
      <x:c r="N50" s="37" t="str"/>
      <x:c r="O50" s="38" t="str">
        <x:v>APPROVED</x:v>
      </x:c>
    </x:row>
    <x:row r="51">
      <x:c r="A51" s="36" t="str">
        <x:v>1.0.1</x:v>
      </x:c>
      <x:c r="B51" s="37" t="str">
        <x:v>M07</x:v>
      </x:c>
      <x:c r="C51" s="37" t="n">
        <x:v>7</x:v>
      </x:c>
      <x:c r="D51" s="37" t="str">
        <x:v>Q46</x:v>
      </x:c>
      <x:c r="E51" s="37" t="n">
        <x:v>46</x:v>
      </x:c>
      <x:c r="F51" s="37" t="str">
        <x:v>On how many days per week do you complete intentional physical activity?</x:v>
      </x:c>
      <x:c r="G51" s="37" t="str">
        <x:v>single_select</x:v>
      </x:c>
      <x:c r="H51" s="37" t="str">
        <x:v>ACTIVITY_DAYS</x:v>
      </x:c>
      <x:c r="I51" s="43" t="b">
        <x:v>1</x:v>
      </x:c>
      <x:c r="J51" s="43" t="b">
        <x:v>1</x:v>
      </x:c>
      <x:c r="K51" s="37" t="str">
        <x:v>Approved option ID only</x:v>
      </x:c>
      <x:c r="L51" s="43" t="b">
        <x:v>1</x:v>
      </x:c>
      <x:c r="M51" s="37" t="str">
        <x:v>NONE</x:v>
      </x:c>
      <x:c r="N51" s="37" t="str"/>
      <x:c r="O51" s="38" t="str">
        <x:v>APPROVED</x:v>
      </x:c>
    </x:row>
    <x:row r="52">
      <x:c r="A52" s="36" t="str">
        <x:v>1.0.1</x:v>
      </x:c>
      <x:c r="B52" s="37" t="str">
        <x:v>M07</x:v>
      </x:c>
      <x:c r="C52" s="37" t="n">
        <x:v>7</x:v>
      </x:c>
      <x:c r="D52" s="37" t="str">
        <x:v>Q47</x:v>
      </x:c>
      <x:c r="E52" s="37" t="n">
        <x:v>47</x:v>
      </x:c>
      <x:c r="F52" s="37" t="str">
        <x:v>On active days, what is the usual duration of your intentional activity?</x:v>
      </x:c>
      <x:c r="G52" s="37" t="str">
        <x:v>single_select</x:v>
      </x:c>
      <x:c r="H52" s="37" t="str">
        <x:v>ACTIVITY_DURATION</x:v>
      </x:c>
      <x:c r="I52" s="43" t="b">
        <x:v>1</x:v>
      </x:c>
      <x:c r="J52" s="43" t="b">
        <x:v>1</x:v>
      </x:c>
      <x:c r="K52" s="37" t="str">
        <x:v>Approved option ID only</x:v>
      </x:c>
      <x:c r="L52" s="43" t="b">
        <x:v>1</x:v>
      </x:c>
      <x:c r="M52" s="37" t="str">
        <x:v>NONE</x:v>
      </x:c>
      <x:c r="N52" s="37" t="str"/>
      <x:c r="O52" s="38" t="str">
        <x:v>APPROVED</x:v>
      </x:c>
    </x:row>
    <x:row r="53">
      <x:c r="A53" s="36" t="str">
        <x:v>1.0.1</x:v>
      </x:c>
      <x:c r="B53" s="37" t="str">
        <x:v>M07</x:v>
      </x:c>
      <x:c r="C53" s="37" t="n">
        <x:v>7</x:v>
      </x:c>
      <x:c r="D53" s="37" t="str">
        <x:v>Q48</x:v>
      </x:c>
      <x:c r="E53" s="37" t="n">
        <x:v>48</x:v>
      </x:c>
      <x:c r="F53" s="37" t="str">
        <x:v>Which option best describes your usual physical activity pattern?</x:v>
      </x:c>
      <x:c r="G53" s="37" t="str">
        <x:v>single_select</x:v>
      </x:c>
      <x:c r="H53" s="37" t="str">
        <x:v>ACTIVITY_TYPE</x:v>
      </x:c>
      <x:c r="I53" s="43" t="b">
        <x:v>1</x:v>
      </x:c>
      <x:c r="J53" s="43" t="b">
        <x:v>1</x:v>
      </x:c>
      <x:c r="K53" s="37" t="str">
        <x:v>Approved option ID only</x:v>
      </x:c>
      <x:c r="L53" s="43" t="b">
        <x:v>1</x:v>
      </x:c>
      <x:c r="M53" s="37" t="str">
        <x:v>NONE</x:v>
      </x:c>
      <x:c r="N53" s="37" t="str"/>
      <x:c r="O53" s="38" t="str">
        <x:v>APPROVED</x:v>
      </x:c>
    </x:row>
    <x:row r="54">
      <x:c r="A54" s="36" t="str">
        <x:v>1.0.1</x:v>
      </x:c>
      <x:c r="B54" s="37" t="str">
        <x:v>M08</x:v>
      </x:c>
      <x:c r="C54" s="37" t="n">
        <x:v>8</x:v>
      </x:c>
      <x:c r="D54" s="37" t="str">
        <x:v>Q49</x:v>
      </x:c>
      <x:c r="E54" s="37" t="n">
        <x:v>49</x:v>
      </x:c>
      <x:c r="F54" s="37" t="str">
        <x:v>How often does your body seem to resist weight loss despite consistent effort?</x:v>
      </x:c>
      <x:c r="G54" s="37" t="str">
        <x:v>likert</x:v>
      </x:c>
      <x:c r="H54" s="37" t="str">
        <x:v>FREQ</x:v>
      </x:c>
      <x:c r="I54" s="43" t="b">
        <x:v>1</x:v>
      </x:c>
      <x:c r="J54" s="43" t="b">
        <x:v>1</x:v>
      </x:c>
      <x:c r="K54" s="37" t="str">
        <x:v>0-4 or N/A</x:v>
      </x:c>
      <x:c r="L54" s="43" t="b">
        <x:v>1</x:v>
      </x:c>
      <x:c r="M54" s="37" t="str">
        <x:v>NONE</x:v>
      </x:c>
      <x:c r="N54" s="37" t="str"/>
      <x:c r="O54" s="38" t="str">
        <x:v>APPROVED</x:v>
      </x:c>
    </x:row>
    <x:row r="55">
      <x:c r="A55" s="36" t="str">
        <x:v>1.0.1</x:v>
      </x:c>
      <x:c r="B55" s="37" t="str">
        <x:v>M08</x:v>
      </x:c>
      <x:c r="C55" s="37" t="n">
        <x:v>8</x:v>
      </x:c>
      <x:c r="D55" s="37" t="str">
        <x:v>Q50</x:v>
      </x:c>
      <x:c r="E55" s="37" t="n">
        <x:v>50</x:v>
      </x:c>
      <x:c r="F55" s="37" t="str">
        <x:v>How often does hunger feel stronger than your ability to regulate it?</x:v>
      </x:c>
      <x:c r="G55" s="37" t="str">
        <x:v>likert</x:v>
      </x:c>
      <x:c r="H55" s="37" t="str">
        <x:v>FREQ</x:v>
      </x:c>
      <x:c r="I55" s="43" t="b">
        <x:v>1</x:v>
      </x:c>
      <x:c r="J55" s="43" t="b">
        <x:v>1</x:v>
      </x:c>
      <x:c r="K55" s="37" t="str">
        <x:v>0-4 or N/A</x:v>
      </x:c>
      <x:c r="L55" s="43" t="b">
        <x:v>1</x:v>
      </x:c>
      <x:c r="M55" s="37" t="str">
        <x:v>NONE</x:v>
      </x:c>
      <x:c r="N55" s="37" t="str"/>
      <x:c r="O55" s="38" t="str">
        <x:v>APPROVED</x:v>
      </x:c>
    </x:row>
    <x:row r="56">
      <x:c r="A56" s="36" t="str">
        <x:v>1.0.1</x:v>
      </x:c>
      <x:c r="B56" s="37" t="str">
        <x:v>M08</x:v>
      </x:c>
      <x:c r="C56" s="37" t="n">
        <x:v>8</x:v>
      </x:c>
      <x:c r="D56" s="37" t="str">
        <x:v>Q51</x:v>
      </x:c>
      <x:c r="E56" s="37" t="n">
        <x:v>51</x:v>
      </x:c>
      <x:c r="F56" s="37" t="str">
        <x:v>How often are your energy levels lower than you believe they should be?</x:v>
      </x:c>
      <x:c r="G56" s="37" t="str">
        <x:v>likert</x:v>
      </x:c>
      <x:c r="H56" s="37" t="str">
        <x:v>FREQ</x:v>
      </x:c>
      <x:c r="I56" s="43" t="b">
        <x:v>1</x:v>
      </x:c>
      <x:c r="J56" s="43" t="b">
        <x:v>1</x:v>
      </x:c>
      <x:c r="K56" s="37" t="str">
        <x:v>0-4 or N/A</x:v>
      </x:c>
      <x:c r="L56" s="43" t="b">
        <x:v>1</x:v>
      </x:c>
      <x:c r="M56" s="37" t="str">
        <x:v>NONE</x:v>
      </x:c>
      <x:c r="N56" s="37" t="str"/>
      <x:c r="O56" s="38" t="str">
        <x:v>APPROVED</x:v>
      </x:c>
    </x:row>
    <x:row r="57">
      <x:c r="A57" s="36" t="str">
        <x:v>1.0.1</x:v>
      </x:c>
      <x:c r="B57" s="37" t="str">
        <x:v>M09</x:v>
      </x:c>
      <x:c r="C57" s="37" t="n">
        <x:v>9</x:v>
      </x:c>
      <x:c r="D57" s="37" t="str">
        <x:v>Q52</x:v>
      </x:c>
      <x:c r="E57" s="37" t="n">
        <x:v>52</x:v>
      </x:c>
      <x:c r="F57" s="37" t="str">
        <x:v>When stressed, what responses are most typical for you?</x:v>
      </x:c>
      <x:c r="G57" s="37" t="str">
        <x:v>multi_select</x:v>
      </x:c>
      <x:c r="H57" s="37" t="str">
        <x:v>STRESS_RESPONSE</x:v>
      </x:c>
      <x:c r="I57" s="43" t="b">
        <x:v>1</x:v>
      </x:c>
      <x:c r="J57" s="43" t="b">
        <x:v>1</x:v>
      </x:c>
      <x:c r="K57" s="37" t="str">
        <x:v>One or more approved option IDs required; empty array invalid; NONE/NA exclusive where provided</x:v>
      </x:c>
      <x:c r="L57" s="43" t="b">
        <x:v>0</x:v>
      </x:c>
      <x:c r="M57" s="37" t="str">
        <x:v>NONE</x:v>
      </x:c>
      <x:c r="N57" s="37" t="str"/>
      <x:c r="O57" s="38" t="str">
        <x:v>APPROVED</x:v>
      </x:c>
    </x:row>
    <x:row r="58">
      <x:c r="A58" s="36" t="str">
        <x:v>1.0.1</x:v>
      </x:c>
      <x:c r="B58" s="37" t="str">
        <x:v>M09</x:v>
      </x:c>
      <x:c r="C58" s="37" t="n">
        <x:v>9</x:v>
      </x:c>
      <x:c r="D58" s="37" t="str">
        <x:v>Q53</x:v>
      </x:c>
      <x:c r="E58" s="37" t="n">
        <x:v>53</x:v>
      </x:c>
      <x:c r="F58" s="37" t="str">
        <x:v>What do you believe most often contributes to your hunger or cravings?</x:v>
      </x:c>
      <x:c r="G58" s="37" t="str">
        <x:v>multi_select</x:v>
      </x:c>
      <x:c r="H58" s="37" t="str">
        <x:v>HUNGER_CAUSE</x:v>
      </x:c>
      <x:c r="I58" s="43" t="b">
        <x:v>1</x:v>
      </x:c>
      <x:c r="J58" s="43" t="b">
        <x:v>1</x:v>
      </x:c>
      <x:c r="K58" s="37" t="str">
        <x:v>One or more approved option IDs required; empty array invalid; NONE/NA exclusive where provided</x:v>
      </x:c>
      <x:c r="L58" s="43" t="b">
        <x:v>0</x:v>
      </x:c>
      <x:c r="M58" s="37" t="str">
        <x:v>NONE</x:v>
      </x:c>
      <x:c r="N58" s="37" t="str"/>
      <x:c r="O58" s="38" t="str">
        <x:v>APPROVED</x:v>
      </x:c>
    </x:row>
    <x:row r="59">
      <x:c r="A59" s="36" t="str">
        <x:v>1.0.1</x:v>
      </x:c>
      <x:c r="B59" s="37" t="str">
        <x:v>M09</x:v>
      </x:c>
      <x:c r="C59" s="37" t="n">
        <x:v>9</x:v>
      </x:c>
      <x:c r="D59" s="37" t="str">
        <x:v>Q54</x:v>
      </x:c>
      <x:c r="E59" s="37" t="n">
        <x:v>54</x:v>
      </x:c>
      <x:c r="F59" s="37" t="str">
        <x:v>What do you believe most often contributes to low energy?</x:v>
      </x:c>
      <x:c r="G59" s="37" t="str">
        <x:v>multi_select</x:v>
      </x:c>
      <x:c r="H59" s="37" t="str">
        <x:v>ENERGY_CAUSE</x:v>
      </x:c>
      <x:c r="I59" s="43" t="b">
        <x:v>1</x:v>
      </x:c>
      <x:c r="J59" s="43" t="b">
        <x:v>1</x:v>
      </x:c>
      <x:c r="K59" s="37" t="str">
        <x:v>One or more approved option IDs required; empty array invalid; NONE/NA exclusive where provided</x:v>
      </x:c>
      <x:c r="L59" s="43" t="b">
        <x:v>0</x:v>
      </x:c>
      <x:c r="M59" s="37" t="str">
        <x:v>NONE</x:v>
      </x:c>
      <x:c r="N59" s="37" t="str"/>
      <x:c r="O59" s="38" t="str">
        <x:v>APPROVED</x:v>
      </x:c>
    </x:row>
    <x:row r="60">
      <x:c r="A60" s="36" t="str">
        <x:v>1.0.1</x:v>
      </x:c>
      <x:c r="B60" s="37" t="str">
        <x:v>M09</x:v>
      </x:c>
      <x:c r="C60" s="37" t="n">
        <x:v>9</x:v>
      </x:c>
      <x:c r="D60" s="37" t="str">
        <x:v>Q55</x:v>
      </x:c>
      <x:c r="E60" s="37" t="n">
        <x:v>55</x:v>
      </x:c>
      <x:c r="F60" s="37" t="str">
        <x:v>How many caffeinated drinks do you usually consume per day?</x:v>
      </x:c>
      <x:c r="G60" s="37" t="str">
        <x:v>single_select</x:v>
      </x:c>
      <x:c r="H60" s="37" t="str">
        <x:v>CAFFEINE</x:v>
      </x:c>
      <x:c r="I60" s="43" t="b">
        <x:v>1</x:v>
      </x:c>
      <x:c r="J60" s="43" t="b">
        <x:v>1</x:v>
      </x:c>
      <x:c r="K60" s="37" t="str">
        <x:v>Approved option ID only</x:v>
      </x:c>
      <x:c r="L60" s="43" t="b">
        <x:v>0</x:v>
      </x:c>
      <x:c r="M60" s="37" t="str">
        <x:v>NONE</x:v>
      </x:c>
      <x:c r="N60" s="37" t="str"/>
      <x:c r="O60" s="38" t="str">
        <x:v>APPROVED</x:v>
      </x:c>
    </x:row>
    <x:row r="61">
      <x:c r="A61" s="36" t="str">
        <x:v>1.0.1</x:v>
      </x:c>
      <x:c r="B61" s="37" t="str">
        <x:v>M10</x:v>
      </x:c>
      <x:c r="C61" s="37" t="n">
        <x:v>10</x:v>
      </x:c>
      <x:c r="D61" s="37" t="str">
        <x:v>Q56</x:v>
      </x:c>
      <x:c r="E61" s="37" t="n">
        <x:v>56</x:v>
      </x:c>
      <x:c r="F61" s="37" t="str">
        <x:v>Which hormonal or reproductive stage best describes your current situation?</x:v>
      </x:c>
      <x:c r="G61" s="37" t="str">
        <x:v>single_select</x:v>
      </x:c>
      <x:c r="H61" s="37" t="str">
        <x:v>HORMONAL_STAGE</x:v>
      </x:c>
      <x:c r="I61" s="43" t="b">
        <x:v>1</x:v>
      </x:c>
      <x:c r="J61" s="43" t="b">
        <x:v>1</x:v>
      </x:c>
      <x:c r="K61" s="37" t="str">
        <x:v>Approved option ID only</x:v>
      </x:c>
      <x:c r="L61" s="43" t="b">
        <x:v>0</x:v>
      </x:c>
      <x:c r="M61" s="37" t="str">
        <x:v>NONE</x:v>
      </x:c>
      <x:c r="N61" s="37" t="str"/>
      <x:c r="O61" s="38" t="str">
        <x:v>APPROVED</x:v>
      </x:c>
    </x:row>
    <x:row r="62">
      <x:c r="A62" s="36" t="str">
        <x:v>1.0.1</x:v>
      </x:c>
      <x:c r="B62" s="37" t="str">
        <x:v>M10</x:v>
      </x:c>
      <x:c r="C62" s="37" t="n">
        <x:v>10</x:v>
      </x:c>
      <x:c r="D62" s="37" t="str">
        <x:v>Q57</x:v>
      </x:c>
      <x:c r="E62" s="37" t="n">
        <x:v>57</x:v>
      </x:c>
      <x:c r="F62" s="37" t="str">
        <x:v>How often have hormonal or reproductive changes affected sleep, appetite, energy or weight?</x:v>
      </x:c>
      <x:c r="G62" s="37" t="str">
        <x:v>likert</x:v>
      </x:c>
      <x:c r="H62" s="37" t="str">
        <x:v>FREQ</x:v>
      </x:c>
      <x:c r="I62" s="43" t="b">
        <x:v>1</x:v>
      </x:c>
      <x:c r="J62" s="43" t="b">
        <x:v>1</x:v>
      </x:c>
      <x:c r="K62" s="37" t="str">
        <x:v>0-4 or N/A</x:v>
      </x:c>
      <x:c r="L62" s="43" t="b">
        <x:v>0</x:v>
      </x:c>
      <x:c r="M62" s="37" t="str">
        <x:v>NONE</x:v>
      </x:c>
      <x:c r="N62" s="37" t="str"/>
      <x:c r="O62" s="38" t="str">
        <x:v>APPROVED</x:v>
      </x:c>
    </x:row>
    <x:row r="63">
      <x:c r="A63" s="36" t="str">
        <x:v>1.0.1</x:v>
      </x:c>
      <x:c r="B63" s="37" t="str">
        <x:v>M10</x:v>
      </x:c>
      <x:c r="C63" s="37" t="n">
        <x:v>10</x:v>
      </x:c>
      <x:c r="D63" s="37" t="str">
        <x:v>Q58</x:v>
      </x:c>
      <x:c r="E63" s="37" t="n">
        <x:v>58</x:v>
      </x:c>
      <x:c r="F63" s="37" t="str">
        <x:v>Are you currently using hormonal medication, contraception or hormone therapy?</x:v>
      </x:c>
      <x:c r="G63" s="37" t="str">
        <x:v>single_select</x:v>
      </x:c>
      <x:c r="H63" s="37" t="str">
        <x:v>YES_NO_UNSURE</x:v>
      </x:c>
      <x:c r="I63" s="43" t="b">
        <x:v>1</x:v>
      </x:c>
      <x:c r="J63" s="43" t="b">
        <x:v>1</x:v>
      </x:c>
      <x:c r="K63" s="37" t="str">
        <x:v>Approved option ID only</x:v>
      </x:c>
      <x:c r="L63" s="43" t="b">
        <x:v>0</x:v>
      </x:c>
      <x:c r="M63" s="37" t="str">
        <x:v>NONE</x:v>
      </x:c>
      <x:c r="N63" s="37" t="str"/>
      <x:c r="O63" s="38" t="str">
        <x:v>APPROVED</x:v>
      </x:c>
    </x:row>
    <x:row r="64">
      <x:c r="A64" s="36" t="str">
        <x:v>1.0.1</x:v>
      </x:c>
      <x:c r="B64" s="37" t="str">
        <x:v>M10</x:v>
      </x:c>
      <x:c r="C64" s="37" t="n">
        <x:v>10</x:v>
      </x:c>
      <x:c r="D64" s="37" t="str">
        <x:v>Q59</x:v>
      </x:c>
      <x:c r="E64" s="37" t="n">
        <x:v>59</x:v>
      </x:c>
      <x:c r="F64" s="37" t="str">
        <x:v>How often do appetite or weight patterns change alongside hormonal or reproductive symptoms?</x:v>
      </x:c>
      <x:c r="G64" s="37" t="str">
        <x:v>likert</x:v>
      </x:c>
      <x:c r="H64" s="37" t="str">
        <x:v>FREQ</x:v>
      </x:c>
      <x:c r="I64" s="43" t="b">
        <x:v>1</x:v>
      </x:c>
      <x:c r="J64" s="43" t="b">
        <x:v>1</x:v>
      </x:c>
      <x:c r="K64" s="37" t="str">
        <x:v>0-4 or N/A</x:v>
      </x:c>
      <x:c r="L64" s="43" t="b">
        <x:v>0</x:v>
      </x:c>
      <x:c r="M64" s="37" t="str">
        <x:v>NONE</x:v>
      </x:c>
      <x:c r="N64" s="37" t="str"/>
      <x:c r="O64" s="38" t="str">
        <x:v>APPROVED</x:v>
      </x:c>
    </x:row>
    <x:row r="65">
      <x:c r="A65" s="36" t="str">
        <x:v>1.0.1</x:v>
      </x:c>
      <x:c r="B65" s="37" t="str">
        <x:v>M10</x:v>
      </x:c>
      <x:c r="C65" s="37" t="n">
        <x:v>10</x:v>
      </x:c>
      <x:c r="D65" s="37" t="str">
        <x:v>Q60</x:v>
      </x:c>
      <x:c r="E65" s="37" t="n">
        <x:v>60</x:v>
      </x:c>
      <x:c r="F65" s="37" t="str">
        <x:v>Have you been told by a clinician that you have a thyroid, reproductive or other hormonal concern?</x:v>
      </x:c>
      <x:c r="G65" s="37" t="str">
        <x:v>single_select</x:v>
      </x:c>
      <x:c r="H65" s="37" t="str">
        <x:v>YES_NO_UNSURE</x:v>
      </x:c>
      <x:c r="I65" s="43" t="b">
        <x:v>1</x:v>
      </x:c>
      <x:c r="J65" s="43" t="b">
        <x:v>1</x:v>
      </x:c>
      <x:c r="K65" s="37" t="str">
        <x:v>Approved option ID only</x:v>
      </x:c>
      <x:c r="L65" s="43" t="b">
        <x:v>0</x:v>
      </x:c>
      <x:c r="M65" s="37" t="str">
        <x:v>NONE</x:v>
      </x:c>
      <x:c r="N65" s="37" t="str"/>
      <x:c r="O65" s="38" t="str">
        <x:v>APPROVED</x:v>
      </x:c>
    </x:row>
    <x:row r="66">
      <x:c r="A66" s="36" t="str">
        <x:v>1.0.1</x:v>
      </x:c>
      <x:c r="B66" s="37" t="str">
        <x:v>M11</x:v>
      </x:c>
      <x:c r="C66" s="37" t="n">
        <x:v>11</x:v>
      </x:c>
      <x:c r="D66" s="37" t="str">
        <x:v>Q61</x:v>
      </x:c>
      <x:c r="E66" s="37" t="n">
        <x:v>61</x:v>
      </x:c>
      <x:c r="F66" s="37" t="str">
        <x:v>How often do you smoke, vape or use nicotine?</x:v>
      </x:c>
      <x:c r="G66" s="37" t="str">
        <x:v>single_select</x:v>
      </x:c>
      <x:c r="H66" s="37" t="str">
        <x:v>TOBACCO</x:v>
      </x:c>
      <x:c r="I66" s="43" t="b">
        <x:v>1</x:v>
      </x:c>
      <x:c r="J66" s="43" t="b">
        <x:v>1</x:v>
      </x:c>
      <x:c r="K66" s="37" t="str">
        <x:v>Approved option ID only</x:v>
      </x:c>
      <x:c r="L66" s="43" t="b">
        <x:v>0</x:v>
      </x:c>
      <x:c r="M66" s="37" t="str">
        <x:v>NONE</x:v>
      </x:c>
      <x:c r="N66" s="37" t="str"/>
      <x:c r="O66" s="38" t="str">
        <x:v>APPROVED</x:v>
      </x:c>
    </x:row>
    <x:row r="67">
      <x:c r="A67" s="36" t="str">
        <x:v>1.0.1</x:v>
      </x:c>
      <x:c r="B67" s="37" t="str">
        <x:v>M11</x:v>
      </x:c>
      <x:c r="C67" s="37" t="n">
        <x:v>11</x:v>
      </x:c>
      <x:c r="D67" s="37" t="str">
        <x:v>Q62</x:v>
      </x:c>
      <x:c r="E67" s="37" t="n">
        <x:v>62</x:v>
      </x:c>
      <x:c r="F67" s="37" t="str">
        <x:v>How often do you consume alcohol?</x:v>
      </x:c>
      <x:c r="G67" s="37" t="str">
        <x:v>single_select</x:v>
      </x:c>
      <x:c r="H67" s="37" t="str">
        <x:v>ALCOHOL</x:v>
      </x:c>
      <x:c r="I67" s="43" t="b">
        <x:v>1</x:v>
      </x:c>
      <x:c r="J67" s="43" t="b">
        <x:v>1</x:v>
      </x:c>
      <x:c r="K67" s="37" t="str">
        <x:v>Approved option ID only</x:v>
      </x:c>
      <x:c r="L67" s="43" t="b">
        <x:v>0</x:v>
      </x:c>
      <x:c r="M67" s="37" t="str">
        <x:v>NONE</x:v>
      </x:c>
      <x:c r="N67" s="37" t="str"/>
      <x:c r="O67" s="38" t="str">
        <x:v>APPROVED</x:v>
      </x:c>
    </x:row>
    <x:row r="68">
      <x:c r="A68" s="36" t="str">
        <x:v>1.0.1</x:v>
      </x:c>
      <x:c r="B68" s="37" t="str">
        <x:v>M11</x:v>
      </x:c>
      <x:c r="C68" s="37" t="n">
        <x:v>11</x:v>
      </x:c>
      <x:c r="D68" s="37" t="str">
        <x:v>Q63</x:v>
      </x:c>
      <x:c r="E68" s="37" t="n">
        <x:v>63</x:v>
      </x:c>
      <x:c r="F68" s="37" t="str">
        <x:v>Which description best matches your usual eating pattern?</x:v>
      </x:c>
      <x:c r="G68" s="37" t="str">
        <x:v>single_select</x:v>
      </x:c>
      <x:c r="H68" s="37" t="str">
        <x:v>EATING_PATTERN</x:v>
      </x:c>
      <x:c r="I68" s="43" t="b">
        <x:v>1</x:v>
      </x:c>
      <x:c r="J68" s="43" t="b">
        <x:v>1</x:v>
      </x:c>
      <x:c r="K68" s="37" t="str">
        <x:v>Approved option ID only</x:v>
      </x:c>
      <x:c r="L68" s="43" t="b">
        <x:v>0</x:v>
      </x:c>
      <x:c r="M68" s="37" t="str">
        <x:v>NONE</x:v>
      </x:c>
      <x:c r="N68" s="37" t="str"/>
      <x:c r="O68" s="38" t="str">
        <x:v>APPROVED</x:v>
      </x:c>
    </x:row>
    <x:row r="69">
      <x:c r="A69" s="36" t="str">
        <x:v>1.0.1</x:v>
      </x:c>
      <x:c r="B69" s="37" t="str">
        <x:v>M11</x:v>
      </x:c>
      <x:c r="C69" s="37" t="n">
        <x:v>11</x:v>
      </x:c>
      <x:c r="D69" s="37" t="str">
        <x:v>Q64</x:v>
      </x:c>
      <x:c r="E69" s="37" t="n">
        <x:v>64</x:v>
      </x:c>
      <x:c r="F69" s="37" t="str">
        <x:v>How often are your meals reasonably consistent in timing from day to day?</x:v>
      </x:c>
      <x:c r="G69" s="37" t="str">
        <x:v>likert</x:v>
      </x:c>
      <x:c r="H69" s="37" t="str">
        <x:v>FREQ</x:v>
      </x:c>
      <x:c r="I69" s="43" t="b">
        <x:v>1</x:v>
      </x:c>
      <x:c r="J69" s="43" t="b">
        <x:v>1</x:v>
      </x:c>
      <x:c r="K69" s="37" t="str">
        <x:v>0-4 or N/A</x:v>
      </x:c>
      <x:c r="L69" s="43" t="b">
        <x:v>0</x:v>
      </x:c>
      <x:c r="M69" s="37" t="str">
        <x:v>NONE</x:v>
      </x:c>
      <x:c r="N69" s="37" t="str">
        <x:v>Used only as a protective factor.</x:v>
      </x:c>
      <x:c r="O69" s="38" t="str">
        <x:v>APPROVED</x:v>
      </x:c>
    </x:row>
    <x:row r="70">
      <x:c r="A70" s="36" t="str">
        <x:v>1.0.1</x:v>
      </x:c>
      <x:c r="B70" s="37" t="str">
        <x:v>M11</x:v>
      </x:c>
      <x:c r="C70" s="37" t="n">
        <x:v>11</x:v>
      </x:c>
      <x:c r="D70" s="37" t="str">
        <x:v>Q65</x:v>
      </x:c>
      <x:c r="E70" s="37" t="n">
        <x:v>65</x:v>
      </x:c>
      <x:c r="F70" s="37" t="str">
        <x:v>How supportive is your home food environment of the choices you want to make?</x:v>
      </x:c>
      <x:c r="G70" s="37" t="str">
        <x:v>single_select</x:v>
      </x:c>
      <x:c r="H70" s="37" t="str">
        <x:v>SUPPORT_LEVEL</x:v>
      </x:c>
      <x:c r="I70" s="43" t="b">
        <x:v>1</x:v>
      </x:c>
      <x:c r="J70" s="43" t="b">
        <x:v>1</x:v>
      </x:c>
      <x:c r="K70" s="37" t="str">
        <x:v>Approved option ID only</x:v>
      </x:c>
      <x:c r="L70" s="43" t="b">
        <x:v>0</x:v>
      </x:c>
      <x:c r="M70" s="37" t="str">
        <x:v>NONE</x:v>
      </x:c>
      <x:c r="N70" s="37" t="str">
        <x:v>Used only as a protective factor.</x:v>
      </x:c>
      <x:c r="O70" s="38" t="str">
        <x:v>APPROVED</x:v>
      </x:c>
    </x:row>
    <x:row r="71">
      <x:c r="A71" s="36" t="str">
        <x:v>1.0.1</x:v>
      </x:c>
      <x:c r="B71" s="37" t="str">
        <x:v>M11</x:v>
      </x:c>
      <x:c r="C71" s="37" t="n">
        <x:v>11</x:v>
      </x:c>
      <x:c r="D71" s="37" t="str">
        <x:v>Q66</x:v>
      </x:c>
      <x:c r="E71" s="37" t="n">
        <x:v>66</x:v>
      </x:c>
      <x:c r="F71" s="37" t="str">
        <x:v>How much practical or emotional support do you have for making health-related changes?</x:v>
      </x:c>
      <x:c r="G71" s="37" t="str">
        <x:v>single_select</x:v>
      </x:c>
      <x:c r="H71" s="37" t="str">
        <x:v>SUPPORT_LEVEL</x:v>
      </x:c>
      <x:c r="I71" s="43" t="b">
        <x:v>1</x:v>
      </x:c>
      <x:c r="J71" s="43" t="b">
        <x:v>1</x:v>
      </x:c>
      <x:c r="K71" s="37" t="str">
        <x:v>Approved option ID only</x:v>
      </x:c>
      <x:c r="L71" s="43" t="b">
        <x:v>0</x:v>
      </x:c>
      <x:c r="M71" s="37" t="str">
        <x:v>NONE</x:v>
      </x:c>
      <x:c r="N71" s="37" t="str"/>
      <x:c r="O71" s="38" t="str">
        <x:v>APPROVED</x:v>
      </x:c>
    </x:row>
    <x:row r="72">
      <x:c r="A72" s="36" t="str">
        <x:v>1.0.1</x:v>
      </x:c>
      <x:c r="B72" s="37" t="str">
        <x:v>M12</x:v>
      </x:c>
      <x:c r="C72" s="37" t="n">
        <x:v>12</x:v>
      </x:c>
      <x:c r="D72" s="37" t="str">
        <x:v>Q67</x:v>
      </x:c>
      <x:c r="E72" s="37" t="n">
        <x:v>67</x:v>
      </x:c>
      <x:c r="F72" s="37" t="str">
        <x:v>What is your primary goal for completing this assessment?</x:v>
      </x:c>
      <x:c r="G72" s="37" t="str">
        <x:v>single_select</x:v>
      </x:c>
      <x:c r="H72" s="37" t="str">
        <x:v>PRIMARY_GOAL</x:v>
      </x:c>
      <x:c r="I72" s="43" t="b">
        <x:v>1</x:v>
      </x:c>
      <x:c r="J72" s="43" t="b">
        <x:v>0</x:v>
      </x:c>
      <x:c r="K72" s="37" t="str">
        <x:v>Approved option ID only</x:v>
      </x:c>
      <x:c r="L72" s="43" t="b">
        <x:v>0</x:v>
      </x:c>
      <x:c r="M72" s="37" t="str">
        <x:v>NONE</x:v>
      </x:c>
      <x:c r="N72" s="37" t="str"/>
      <x:c r="O72" s="38" t="str">
        <x:v>APPROVED</x:v>
      </x:c>
    </x:row>
    <x:row r="73">
      <x:c r="A73" s="36" t="str">
        <x:v>1.0.1</x:v>
      </x:c>
      <x:c r="B73" s="37" t="str">
        <x:v>M12</x:v>
      </x:c>
      <x:c r="C73" s="37" t="n">
        <x:v>12</x:v>
      </x:c>
      <x:c r="D73" s="37" t="str">
        <x:v>Q68</x:v>
      </x:c>
      <x:c r="E73" s="37" t="n">
        <x:v>68</x:v>
      </x:c>
      <x:c r="F73" s="37" t="str">
        <x:v>Which area would you most like to understand first?</x:v>
      </x:c>
      <x:c r="G73" s="37" t="str">
        <x:v>single_select</x:v>
      </x:c>
      <x:c r="H73" s="37" t="str">
        <x:v>PRIORITY_AREA</x:v>
      </x:c>
      <x:c r="I73" s="43" t="b">
        <x:v>1</x:v>
      </x:c>
      <x:c r="J73" s="43" t="b">
        <x:v>0</x:v>
      </x:c>
      <x:c r="K73" s="37" t="str">
        <x:v>Approved option ID only</x:v>
      </x:c>
      <x:c r="L73" s="43" t="b">
        <x:v>0</x:v>
      </x:c>
      <x:c r="M73" s="37" t="str">
        <x:v>NONE</x:v>
      </x:c>
      <x:c r="N73" s="37" t="str"/>
      <x:c r="O73" s="38" t="str">
        <x:v>APPROVED</x:v>
      </x:c>
    </x:row>
    <x:row r="74">
      <x:c r="A74" s="36" t="str">
        <x:v>1.0.1</x:v>
      </x:c>
      <x:c r="B74" s="37" t="str">
        <x:v>M12</x:v>
      </x:c>
      <x:c r="C74" s="37" t="n">
        <x:v>12</x:v>
      </x:c>
      <x:c r="D74" s="37" t="str">
        <x:v>Q69</x:v>
      </x:c>
      <x:c r="E74" s="37" t="n">
        <x:v>69</x:v>
      </x:c>
      <x:c r="F74" s="37" t="str">
        <x:v>How ready do you feel to try one small, realistic change during the next two weeks?</x:v>
      </x:c>
      <x:c r="G74" s="37" t="str">
        <x:v>integer_scale</x:v>
      </x:c>
      <x:c r="H74" s="37" t="str"/>
      <x:c r="I74" s="43" t="b">
        <x:v>1</x:v>
      </x:c>
      <x:c r="J74" s="43" t="b">
        <x:v>0</x:v>
      </x:c>
      <x:c r="K74" s="37" t="str">
        <x:v>0-10 inclusive</x:v>
      </x:c>
      <x:c r="L74" s="43" t="b">
        <x:v>0</x:v>
      </x:c>
      <x:c r="M74" s="37" t="str">
        <x:v>NONE</x:v>
      </x:c>
      <x:c r="N74" s="37" t="str">
        <x:v>Used only as a protective factor.</x:v>
      </x:c>
      <x:c r="O74" s="38" t="str">
        <x:v>APPROVED</x:v>
      </x:c>
    </x:row>
    <x:row r="75">
      <x:c r="A75" s="36" t="str">
        <x:v>1.0.1</x:v>
      </x:c>
      <x:c r="B75" s="37" t="str">
        <x:v>M12</x:v>
      </x:c>
      <x:c r="C75" s="37" t="n">
        <x:v>12</x:v>
      </x:c>
      <x:c r="D75" s="37" t="str">
        <x:v>Q70</x:v>
      </x:c>
      <x:c r="E75" s="37" t="n">
        <x:v>70</x:v>
      </x:c>
      <x:c r="F75" s="37" t="str">
        <x:v>How confident are you that you can maintain one small change for two weeks?</x:v>
      </x:c>
      <x:c r="G75" s="37" t="str">
        <x:v>integer_scale</x:v>
      </x:c>
      <x:c r="H75" s="37" t="str"/>
      <x:c r="I75" s="43" t="b">
        <x:v>1</x:v>
      </x:c>
      <x:c r="J75" s="43" t="b">
        <x:v>0</x:v>
      </x:c>
      <x:c r="K75" s="37" t="str">
        <x:v>0-10 inclusive</x:v>
      </x:c>
      <x:c r="L75" s="43" t="b">
        <x:v>0</x:v>
      </x:c>
      <x:c r="M75" s="37" t="str">
        <x:v>NONE</x:v>
      </x:c>
      <x:c r="N75" s="37" t="str"/>
      <x:c r="O75" s="38" t="str">
        <x:v>APPROVED</x:v>
      </x:c>
    </x:row>
    <x:row r="76">
      <x:c r="A76" s="36" t="str">
        <x:v>1.0.1</x:v>
      </x:c>
      <x:c r="B76" s="37" t="str">
        <x:v>M12</x:v>
      </x:c>
      <x:c r="C76" s="37" t="n">
        <x:v>12</x:v>
      </x:c>
      <x:c r="D76" s="37" t="str">
        <x:v>Q71</x:v>
      </x:c>
      <x:c r="E76" s="37" t="n">
        <x:v>71</x:v>
      </x:c>
      <x:c r="F76" s="37" t="str">
        <x:v>What pace of change feels most realistic for you?</x:v>
      </x:c>
      <x:c r="G76" s="37" t="str">
        <x:v>single_select</x:v>
      </x:c>
      <x:c r="H76" s="37" t="str">
        <x:v>CHANGE_PACE</x:v>
      </x:c>
      <x:c r="I76" s="43" t="b">
        <x:v>1</x:v>
      </x:c>
      <x:c r="J76" s="43" t="b">
        <x:v>0</x:v>
      </x:c>
      <x:c r="K76" s="37" t="str">
        <x:v>Approved option ID only</x:v>
      </x:c>
      <x:c r="L76" s="43" t="b">
        <x:v>0</x:v>
      </x:c>
      <x:c r="M76" s="37" t="str">
        <x:v>NONE</x:v>
      </x:c>
      <x:c r="N76" s="37" t="str"/>
      <x:c r="O76" s="38" t="str">
        <x:v>APPROVED</x:v>
      </x:c>
    </x:row>
    <x:row r="77">
      <x:c r="A77" s="36" t="str">
        <x:v>1.0.1</x:v>
      </x:c>
      <x:c r="B77" s="37" t="str">
        <x:v>M13</x:v>
      </x:c>
      <x:c r="C77" s="37" t="n">
        <x:v>13</x:v>
      </x:c>
      <x:c r="D77" s="37" t="str">
        <x:v>Q72</x:v>
      </x:c>
      <x:c r="E77" s="37" t="n">
        <x:v>72</x:v>
      </x:c>
      <x:c r="F77" s="37" t="str">
        <x:v>How confident are you that your answers reflect your usual experience during the last four weeks?</x:v>
      </x:c>
      <x:c r="G77" s="37" t="str">
        <x:v>single_select</x:v>
      </x:c>
      <x:c r="H77" s="37" t="str">
        <x:v>ANSWER_CONFIDENCE</x:v>
      </x:c>
      <x:c r="I77" s="43" t="b">
        <x:v>1</x:v>
      </x:c>
      <x:c r="J77" s="43" t="b">
        <x:v>0</x:v>
      </x:c>
      <x:c r="K77" s="37" t="str">
        <x:v>Approved option ID only</x:v>
      </x:c>
      <x:c r="L77" s="43" t="b">
        <x:v>0</x:v>
      </x:c>
      <x:c r="M77" s="37" t="str">
        <x:v>NONE</x:v>
      </x:c>
      <x:c r="N77" s="37" t="str"/>
      <x:c r="O77" s="38" t="str">
        <x:v>APPROVED</x:v>
      </x:c>
    </x:row>
    <x:row r="78">
      <x:c r="A78" s="39" t="str">
        <x:v>1.0.1</x:v>
      </x:c>
      <x:c r="B78" s="40" t="str">
        <x:v>M13</x:v>
      </x:c>
      <x:c r="C78" s="40" t="n">
        <x:v>13</x:v>
      </x:c>
      <x:c r="D78" s="40" t="str">
        <x:v>Q73</x:v>
      </x:c>
      <x:c r="E78" s="40" t="n">
        <x:v>73</x:v>
      </x:c>
      <x:c r="F78" s="40" t="str">
        <x:v>Is there anything else you would like the report to acknowledge?</x:v>
      </x:c>
      <x:c r="G78" s="40" t="str">
        <x:v>free_text</x:v>
      </x:c>
      <x:c r="H78" s="40" t="str"/>
      <x:c r="I78" s="44" t="b">
        <x:v>0</x:v>
      </x:c>
      <x:c r="J78" s="44" t="b">
        <x:v>0</x:v>
      </x:c>
      <x:c r="K78" s="40" t="str">
        <x:v>0-1000 characters; sanitize; never concatenate directly into model instructions</x:v>
      </x:c>
      <x:c r="L78" s="44" t="b">
        <x:v>0</x:v>
      </x:c>
      <x:c r="M78" s="40" t="str">
        <x:v>NONE</x:v>
      </x:c>
      <x:c r="N78" s="40" t="str">
        <x:v>Optional. Do not enter urgent or emergency information here.</x:v>
      </x:c>
      <x:c r="O78" s="41" t="str">
        <x:v>APPROVED</x:v>
      </x:c>
    </x:row>
  </x:sheetData>
  <x:mergeCells>
    <x:mergeCell ref="A1:O1"/>
    <x:mergeCell ref="A2:O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48" hidden="0" customWidth="1"/>
    <x:col min="5" max="5" width="24" hidden="0" customWidth="1"/>
    <x:col min="6" max="6" width="12" hidden="0" customWidth="1"/>
  </x:cols>
  <x:sheetData>
    <x:row r="1" ht="30" customHeight="1">
      <x:c r="A1" s="30" t="str">
        <x:v>Approved Option Sets</x:v>
      </x:c>
      <x:c r="B1" s="30"/>
      <x:c r="C1" s="30"/>
      <x:c r="D1" s="30"/>
      <x:c r="E1" s="30"/>
      <x:c r="F1" s="30"/>
    </x:row>
    <x:row r="2">
      <x:c r="A2" s="31" t="str">
        <x:v>Logic uses option_id and stored_value, never the display label. A blank stored_value means contextual-only or N/A.</x:v>
      </x:c>
      <x:c r="B2" s="31"/>
      <x:c r="C2" s="31"/>
      <x:c r="D2" s="31"/>
      <x:c r="E2" s="31"/>
      <x:c r="F2" s="31"/>
    </x:row>
    <x:row r="3">
      <x:c r="A3" s="31"/>
      <x:c r="B3" s="31"/>
      <x:c r="C3" s="31"/>
      <x:c r="D3" s="31"/>
      <x:c r="E3" s="31"/>
      <x:c r="F3" s="31"/>
    </x:row>
    <x:row r="4">
      <x:c r="A4" s="32"/>
      <x:c r="B4" s="32"/>
      <x:c r="C4" s="32"/>
      <x:c r="D4" s="32"/>
      <x:c r="E4" s="32"/>
      <x:c r="F4" s="32"/>
    </x:row>
    <x:row r="5">
      <x:c r="A5" s="33" t="str">
        <x:v>option_set_id</x:v>
      </x:c>
      <x:c r="B5" s="34" t="str">
        <x:v>option_order</x:v>
      </x:c>
      <x:c r="C5" s="34" t="str">
        <x:v>option_id</x:v>
      </x:c>
      <x:c r="D5" s="34" t="str">
        <x:v>display_label</x:v>
      </x:c>
      <x:c r="E5" s="34" t="str">
        <x:v>stored_value_or_points</x:v>
      </x:c>
      <x:c r="F5" s="35" t="str">
        <x:v>is_na</x:v>
      </x:c>
    </x:row>
    <x:row r="6">
      <x:c r="A6" s="36" t="str">
        <x:v>FREQ</x:v>
      </x:c>
      <x:c r="B6" s="37" t="n">
        <x:v>1</x:v>
      </x:c>
      <x:c r="C6" s="37" t="str">
        <x:v>NVR</x:v>
      </x:c>
      <x:c r="D6" s="37" t="str">
        <x:v>Never</x:v>
      </x:c>
      <x:c r="E6" s="37" t="n">
        <x:v>0</x:v>
      </x:c>
      <x:c r="F6" s="45" t="b">
        <x:v>0</x:v>
      </x:c>
    </x:row>
    <x:row r="7">
      <x:c r="A7" s="36" t="str">
        <x:v>FREQ</x:v>
      </x:c>
      <x:c r="B7" s="37" t="n">
        <x:v>2</x:v>
      </x:c>
      <x:c r="C7" s="37" t="str">
        <x:v>RLY</x:v>
      </x:c>
      <x:c r="D7" s="37" t="str">
        <x:v>Rarely</x:v>
      </x:c>
      <x:c r="E7" s="37" t="n">
        <x:v>1</x:v>
      </x:c>
      <x:c r="F7" s="45" t="b">
        <x:v>0</x:v>
      </x:c>
    </x:row>
    <x:row r="8">
      <x:c r="A8" s="36" t="str">
        <x:v>FREQ</x:v>
      </x:c>
      <x:c r="B8" s="37" t="n">
        <x:v>3</x:v>
      </x:c>
      <x:c r="C8" s="37" t="str">
        <x:v>SMT</x:v>
      </x:c>
      <x:c r="D8" s="37" t="str">
        <x:v>Sometimes</x:v>
      </x:c>
      <x:c r="E8" s="37" t="n">
        <x:v>2</x:v>
      </x:c>
      <x:c r="F8" s="45" t="b">
        <x:v>0</x:v>
      </x:c>
    </x:row>
    <x:row r="9">
      <x:c r="A9" s="36" t="str">
        <x:v>FREQ</x:v>
      </x:c>
      <x:c r="B9" s="37" t="n">
        <x:v>4</x:v>
      </x:c>
      <x:c r="C9" s="37" t="str">
        <x:v>OFT</x:v>
      </x:c>
      <x:c r="D9" s="37" t="str">
        <x:v>Often</x:v>
      </x:c>
      <x:c r="E9" s="37" t="n">
        <x:v>3</x:v>
      </x:c>
      <x:c r="F9" s="45" t="b">
        <x:v>0</x:v>
      </x:c>
    </x:row>
    <x:row r="10">
      <x:c r="A10" s="36" t="str">
        <x:v>FREQ</x:v>
      </x:c>
      <x:c r="B10" s="37" t="n">
        <x:v>5</x:v>
      </x:c>
      <x:c r="C10" s="37" t="str">
        <x:v>ALW</x:v>
      </x:c>
      <x:c r="D10" s="37" t="str">
        <x:v>Almost always</x:v>
      </x:c>
      <x:c r="E10" s="37" t="n">
        <x:v>4</x:v>
      </x:c>
      <x:c r="F10" s="45" t="b">
        <x:v>0</x:v>
      </x:c>
    </x:row>
    <x:row r="11">
      <x:c r="A11" s="36" t="str">
        <x:v>FREQ</x:v>
      </x:c>
      <x:c r="B11" s="37" t="n">
        <x:v>6</x:v>
      </x:c>
      <x:c r="C11" s="37" t="str">
        <x:v>NA</x:v>
      </x:c>
      <x:c r="D11" s="37" t="str">
        <x:v>Not applicable</x:v>
      </x:c>
      <x:c r="E11" s="37"/>
      <x:c r="F11" s="45" t="b">
        <x:v>1</x:v>
      </x:c>
    </x:row>
    <x:row r="12">
      <x:c r="A12" s="36" t="str">
        <x:v>YES_NO_UNSURE</x:v>
      </x:c>
      <x:c r="B12" s="37" t="n">
        <x:v>1</x:v>
      </x:c>
      <x:c r="C12" s="37" t="str">
        <x:v>NO</x:v>
      </x:c>
      <x:c r="D12" s="37" t="str">
        <x:v>No</x:v>
      </x:c>
      <x:c r="E12" s="37" t="n">
        <x:v>0</x:v>
      </x:c>
      <x:c r="F12" s="45" t="b">
        <x:v>0</x:v>
      </x:c>
    </x:row>
    <x:row r="13">
      <x:c r="A13" s="36" t="str">
        <x:v>YES_NO_UNSURE</x:v>
      </x:c>
      <x:c r="B13" s="37" t="n">
        <x:v>2</x:v>
      </x:c>
      <x:c r="C13" s="37" t="str">
        <x:v>YES</x:v>
      </x:c>
      <x:c r="D13" s="37" t="str">
        <x:v>Yes</x:v>
      </x:c>
      <x:c r="E13" s="37" t="n">
        <x:v>4</x:v>
      </x:c>
      <x:c r="F13" s="45" t="b">
        <x:v>0</x:v>
      </x:c>
    </x:row>
    <x:row r="14">
      <x:c r="A14" s="36" t="str">
        <x:v>YES_NO_UNSURE</x:v>
      </x:c>
      <x:c r="B14" s="37" t="n">
        <x:v>3</x:v>
      </x:c>
      <x:c r="C14" s="37" t="str">
        <x:v>UNSURE</x:v>
      </x:c>
      <x:c r="D14" s="37" t="str">
        <x:v>Not sure</x:v>
      </x:c>
      <x:c r="E14" s="37"/>
      <x:c r="F14" s="45" t="b">
        <x:v>0</x:v>
      </x:c>
    </x:row>
    <x:row r="15">
      <x:c r="A15" s="36" t="str">
        <x:v>YES_NO_UNSURE</x:v>
      </x:c>
      <x:c r="B15" s="37" t="n">
        <x:v>4</x:v>
      </x:c>
      <x:c r="C15" s="37" t="str">
        <x:v>NA</x:v>
      </x:c>
      <x:c r="D15" s="37" t="str">
        <x:v>Not applicable</x:v>
      </x:c>
      <x:c r="E15" s="37"/>
      <x:c r="F15" s="45" t="b">
        <x:v>1</x:v>
      </x:c>
    </x:row>
    <x:row r="16">
      <x:c r="A16" s="36" t="str">
        <x:v>SEX</x:v>
      </x:c>
      <x:c r="B16" s="37" t="n">
        <x:v>1</x:v>
      </x:c>
      <x:c r="C16" s="37" t="str">
        <x:v>FEMALE</x:v>
      </x:c>
      <x:c r="D16" s="37" t="str">
        <x:v>Female</x:v>
      </x:c>
      <x:c r="E16" s="37"/>
      <x:c r="F16" s="45" t="b">
        <x:v>0</x:v>
      </x:c>
    </x:row>
    <x:row r="17">
      <x:c r="A17" s="36" t="str">
        <x:v>SEX</x:v>
      </x:c>
      <x:c r="B17" s="37" t="n">
        <x:v>2</x:v>
      </x:c>
      <x:c r="C17" s="37" t="str">
        <x:v>MALE</x:v>
      </x:c>
      <x:c r="D17" s="37" t="str">
        <x:v>Male</x:v>
      </x:c>
      <x:c r="E17" s="37"/>
      <x:c r="F17" s="45" t="b">
        <x:v>0</x:v>
      </x:c>
    </x:row>
    <x:row r="18">
      <x:c r="A18" s="36" t="str">
        <x:v>SEX</x:v>
      </x:c>
      <x:c r="B18" s="37" t="n">
        <x:v>3</x:v>
      </x:c>
      <x:c r="C18" s="37" t="str">
        <x:v>INTERSEX</x:v>
      </x:c>
      <x:c r="D18" s="37" t="str">
        <x:v>Intersex</x:v>
      </x:c>
      <x:c r="E18" s="37"/>
      <x:c r="F18" s="45" t="b">
        <x:v>0</x:v>
      </x:c>
    </x:row>
    <x:row r="19">
      <x:c r="A19" s="36" t="str">
        <x:v>SEX</x:v>
      </x:c>
      <x:c r="B19" s="37" t="n">
        <x:v>4</x:v>
      </x:c>
      <x:c r="C19" s="37" t="str">
        <x:v>PREFER_NOT</x:v>
      </x:c>
      <x:c r="D19" s="37" t="str">
        <x:v>Prefer not to say</x:v>
      </x:c>
      <x:c r="E19" s="37"/>
      <x:c r="F19" s="45" t="b">
        <x:v>0</x:v>
      </x:c>
    </x:row>
    <x:row r="20">
      <x:c r="A20" s="36" t="str">
        <x:v>WAIST_UNIT</x:v>
      </x:c>
      <x:c r="B20" s="37" t="n">
        <x:v>1</x:v>
      </x:c>
      <x:c r="C20" s="37" t="str">
        <x:v>CM</x:v>
      </x:c>
      <x:c r="D20" s="37" t="str">
        <x:v>Centimetres</x:v>
      </x:c>
      <x:c r="E20" s="37"/>
      <x:c r="F20" s="45" t="b">
        <x:v>0</x:v>
      </x:c>
    </x:row>
    <x:row r="21">
      <x:c r="A21" s="36" t="str">
        <x:v>WAIST_UNIT</x:v>
      </x:c>
      <x:c r="B21" s="37" t="n">
        <x:v>2</x:v>
      </x:c>
      <x:c r="C21" s="37" t="str">
        <x:v>IN</x:v>
      </x:c>
      <x:c r="D21" s="37" t="str">
        <x:v>Inches</x:v>
      </x:c>
      <x:c r="E21" s="37"/>
      <x:c r="F21" s="45" t="b">
        <x:v>0</x:v>
      </x:c>
    </x:row>
    <x:row r="22">
      <x:c r="A22" s="36" t="str">
        <x:v>WEIGHT_DURATION</x:v>
      </x:c>
      <x:c r="B22" s="37" t="n">
        <x:v>1</x:v>
      </x:c>
      <x:c r="C22" s="37" t="str">
        <x:v>LT6M</x:v>
      </x:c>
      <x:c r="D22" s="37" t="str">
        <x:v>Less than 6 months</x:v>
      </x:c>
      <x:c r="E22" s="37"/>
      <x:c r="F22" s="45" t="b">
        <x:v>0</x:v>
      </x:c>
    </x:row>
    <x:row r="23">
      <x:c r="A23" s="36" t="str">
        <x:v>WEIGHT_DURATION</x:v>
      </x:c>
      <x:c r="B23" s="37" t="n">
        <x:v>2</x:v>
      </x:c>
      <x:c r="C23" s="37" t="str">
        <x:v>6_12M</x:v>
      </x:c>
      <x:c r="D23" s="37" t="str">
        <x:v>6-12 months</x:v>
      </x:c>
      <x:c r="E23" s="37"/>
      <x:c r="F23" s="45" t="b">
        <x:v>0</x:v>
      </x:c>
    </x:row>
    <x:row r="24">
      <x:c r="A24" s="36" t="str">
        <x:v>WEIGHT_DURATION</x:v>
      </x:c>
      <x:c r="B24" s="37" t="n">
        <x:v>3</x:v>
      </x:c>
      <x:c r="C24" s="37" t="str">
        <x:v>1_3Y</x:v>
      </x:c>
      <x:c r="D24" s="37" t="str">
        <x:v>1-3 years</x:v>
      </x:c>
      <x:c r="E24" s="37"/>
      <x:c r="F24" s="45" t="b">
        <x:v>0</x:v>
      </x:c>
    </x:row>
    <x:row r="25">
      <x:c r="A25" s="36" t="str">
        <x:v>WEIGHT_DURATION</x:v>
      </x:c>
      <x:c r="B25" s="37" t="n">
        <x:v>4</x:v>
      </x:c>
      <x:c r="C25" s="37" t="str">
        <x:v>3_5Y</x:v>
      </x:c>
      <x:c r="D25" s="37" t="str">
        <x:v>3-5 years</x:v>
      </x:c>
      <x:c r="E25" s="37"/>
      <x:c r="F25" s="45" t="b">
        <x:v>0</x:v>
      </x:c>
    </x:row>
    <x:row r="26">
      <x:c r="A26" s="36" t="str">
        <x:v>WEIGHT_DURATION</x:v>
      </x:c>
      <x:c r="B26" s="37" t="n">
        <x:v>5</x:v>
      </x:c>
      <x:c r="C26" s="37" t="str">
        <x:v>GT5Y</x:v>
      </x:c>
      <x:c r="D26" s="37" t="str">
        <x:v>More than 5 years</x:v>
      </x:c>
      <x:c r="E26" s="37"/>
      <x:c r="F26" s="45" t="b">
        <x:v>0</x:v>
      </x:c>
    </x:row>
    <x:row r="27">
      <x:c r="A27" s="36" t="str">
        <x:v>WEIGHT_DURATION</x:v>
      </x:c>
      <x:c r="B27" s="37" t="n">
        <x:v>6</x:v>
      </x:c>
      <x:c r="C27" s="37" t="str">
        <x:v>NA</x:v>
      </x:c>
      <x:c r="D27" s="37" t="str">
        <x:v>Not applicable</x:v>
      </x:c>
      <x:c r="E27" s="37"/>
      <x:c r="F27" s="45" t="b">
        <x:v>1</x:v>
      </x:c>
    </x:row>
    <x:row r="28">
      <x:c r="A28" s="36" t="str">
        <x:v>WEIGHT_PATTERN</x:v>
      </x:c>
      <x:c r="B28" s="37" t="n">
        <x:v>1</x:v>
      </x:c>
      <x:c r="C28" s="37" t="str">
        <x:v>STABLE</x:v>
      </x:c>
      <x:c r="D28" s="37" t="str">
        <x:v>Mostly stable</x:v>
      </x:c>
      <x:c r="E28" s="37"/>
      <x:c r="F28" s="45" t="b">
        <x:v>0</x:v>
      </x:c>
    </x:row>
    <x:row r="29">
      <x:c r="A29" s="36" t="str">
        <x:v>WEIGHT_PATTERN</x:v>
      </x:c>
      <x:c r="B29" s="37" t="n">
        <x:v>2</x:v>
      </x:c>
      <x:c r="C29" s="37" t="str">
        <x:v>GRADUAL</x:v>
      </x:c>
      <x:c r="D29" s="37" t="str">
        <x:v>Gradual increase</x:v>
      </x:c>
      <x:c r="E29" s="37"/>
      <x:c r="F29" s="45" t="b">
        <x:v>0</x:v>
      </x:c>
    </x:row>
    <x:row r="30">
      <x:c r="A30" s="36" t="str">
        <x:v>WEIGHT_PATTERN</x:v>
      </x:c>
      <x:c r="B30" s="37" t="n">
        <x:v>3</x:v>
      </x:c>
      <x:c r="C30" s="37" t="str">
        <x:v>CYCLING</x:v>
      </x:c>
      <x:c r="D30" s="37" t="str">
        <x:v>Repeated loss and regain</x:v>
      </x:c>
      <x:c r="E30" s="37"/>
      <x:c r="F30" s="45" t="b">
        <x:v>0</x:v>
      </x:c>
    </x:row>
    <x:row r="31">
      <x:c r="A31" s="36" t="str">
        <x:v>WEIGHT_PATTERN</x:v>
      </x:c>
      <x:c r="B31" s="37" t="n">
        <x:v>4</x:v>
      </x:c>
      <x:c r="C31" s="37" t="str">
        <x:v>RECENT</x:v>
      </x:c>
      <x:c r="D31" s="37" t="str">
        <x:v>Recent marked change</x:v>
      </x:c>
      <x:c r="E31" s="37"/>
      <x:c r="F31" s="45" t="b">
        <x:v>0</x:v>
      </x:c>
    </x:row>
    <x:row r="32">
      <x:c r="A32" s="36" t="str">
        <x:v>WEIGHT_PATTERN</x:v>
      </x:c>
      <x:c r="B32" s="37" t="n">
        <x:v>5</x:v>
      </x:c>
      <x:c r="C32" s="37" t="str">
        <x:v>OTHER</x:v>
      </x:c>
      <x:c r="D32" s="37" t="str">
        <x:v>Other or unsure</x:v>
      </x:c>
      <x:c r="E32" s="37"/>
      <x:c r="F32" s="45" t="b">
        <x:v>0</x:v>
      </x:c>
    </x:row>
    <x:row r="33">
      <x:c r="A33" s="36" t="str">
        <x:v>WEIGHT_PATTERN</x:v>
      </x:c>
      <x:c r="B33" s="37" t="n">
        <x:v>6</x:v>
      </x:c>
      <x:c r="C33" s="37" t="str">
        <x:v>NA</x:v>
      </x:c>
      <x:c r="D33" s="37" t="str">
        <x:v>Not applicable</x:v>
      </x:c>
      <x:c r="E33" s="37"/>
      <x:c r="F33" s="45" t="b">
        <x:v>1</x:v>
      </x:c>
    </x:row>
    <x:row r="34">
      <x:c r="A34" s="36" t="str">
        <x:v>GAIN_PATTERN</x:v>
      </x:c>
      <x:c r="B34" s="37" t="n">
        <x:v>1</x:v>
      </x:c>
      <x:c r="C34" s="37" t="str">
        <x:v>STABLE</x:v>
      </x:c>
      <x:c r="D34" s="37" t="str">
        <x:v>No concerning change or mostly stable</x:v>
      </x:c>
      <x:c r="E34" s="37" t="n">
        <x:v>0</x:v>
      </x:c>
      <x:c r="F34" s="45" t="b">
        <x:v>0</x:v>
      </x:c>
    </x:row>
    <x:row r="35">
      <x:c r="A35" s="36" t="str">
        <x:v>GAIN_PATTERN</x:v>
      </x:c>
      <x:c r="B35" s="37" t="n">
        <x:v>2</x:v>
      </x:c>
      <x:c r="C35" s="37" t="str">
        <x:v>IDENTIFIABLE</x:v>
      </x:c>
      <x:c r="D35" s="37" t="str">
        <x:v>After an identifiable life period or event</x:v>
      </x:c>
      <x:c r="E35" s="37" t="n">
        <x:v>1</x:v>
      </x:c>
      <x:c r="F35" s="45" t="b">
        <x:v>0</x:v>
      </x:c>
    </x:row>
    <x:row r="36">
      <x:c r="A36" s="36" t="str">
        <x:v>GAIN_PATTERN</x:v>
      </x:c>
      <x:c r="B36" s="37" t="n">
        <x:v>3</x:v>
      </x:c>
      <x:c r="C36" s="37" t="str">
        <x:v>GRADUAL</x:v>
      </x:c>
      <x:c r="D36" s="37" t="str">
        <x:v>Gradually with no single clear reason</x:v>
      </x:c>
      <x:c r="E36" s="37" t="n">
        <x:v>2</x:v>
      </x:c>
      <x:c r="F36" s="45" t="b">
        <x:v>0</x:v>
      </x:c>
    </x:row>
    <x:row r="37">
      <x:c r="A37" s="36" t="str">
        <x:v>GAIN_PATTERN</x:v>
      </x:c>
      <x:c r="B37" s="37" t="n">
        <x:v>4</x:v>
      </x:c>
      <x:c r="C37" s="37" t="str">
        <x:v>CYCLING</x:v>
      </x:c>
      <x:c r="D37" s="37" t="str">
        <x:v>In repeated cycles of loss and regain</x:v>
      </x:c>
      <x:c r="E37" s="37" t="n">
        <x:v>3</x:v>
      </x:c>
      <x:c r="F37" s="45" t="b">
        <x:v>0</x:v>
      </x:c>
    </x:row>
    <x:row r="38">
      <x:c r="A38" s="36" t="str">
        <x:v>GAIN_PATTERN</x:v>
      </x:c>
      <x:c r="B38" s="37" t="n">
        <x:v>5</x:v>
      </x:c>
      <x:c r="C38" s="37" t="str">
        <x:v>RAPID</x:v>
      </x:c>
      <x:c r="D38" s="37" t="str">
        <x:v>Rapidly or unexpectedly</x:v>
      </x:c>
      <x:c r="E38" s="37" t="n">
        <x:v>4</x:v>
      </x:c>
      <x:c r="F38" s="45" t="b">
        <x:v>0</x:v>
      </x:c>
    </x:row>
    <x:row r="39">
      <x:c r="A39" s="36" t="str">
        <x:v>GAIN_PATTERN</x:v>
      </x:c>
      <x:c r="B39" s="37" t="n">
        <x:v>6</x:v>
      </x:c>
      <x:c r="C39" s="37" t="str">
        <x:v>NA</x:v>
      </x:c>
      <x:c r="D39" s="37" t="str">
        <x:v>Not applicable</x:v>
      </x:c>
      <x:c r="E39" s="37"/>
      <x:c r="F39" s="45" t="b">
        <x:v>1</x:v>
      </x:c>
    </x:row>
    <x:row r="40">
      <x:c r="A40" s="36" t="str">
        <x:v>WEIGHT_CYCLES</x:v>
      </x:c>
      <x:c r="B40" s="37" t="n">
        <x:v>1</x:v>
      </x:c>
      <x:c r="C40" s="37" t="str">
        <x:v>NONE</x:v>
      </x:c>
      <x:c r="D40" s="37" t="str">
        <x:v>None</x:v>
      </x:c>
      <x:c r="E40" s="37" t="n">
        <x:v>0</x:v>
      </x:c>
      <x:c r="F40" s="45" t="b">
        <x:v>0</x:v>
      </x:c>
    </x:row>
    <x:row r="41">
      <x:c r="A41" s="36" t="str">
        <x:v>WEIGHT_CYCLES</x:v>
      </x:c>
      <x:c r="B41" s="37" t="n">
        <x:v>2</x:v>
      </x:c>
      <x:c r="C41" s="37" t="str">
        <x:v>ONE</x:v>
      </x:c>
      <x:c r="D41" s="37" t="str">
        <x:v>One</x:v>
      </x:c>
      <x:c r="E41" s="37" t="n">
        <x:v>1</x:v>
      </x:c>
      <x:c r="F41" s="45" t="b">
        <x:v>0</x:v>
      </x:c>
    </x:row>
    <x:row r="42">
      <x:c r="A42" s="36" t="str">
        <x:v>WEIGHT_CYCLES</x:v>
      </x:c>
      <x:c r="B42" s="37" t="n">
        <x:v>3</x:v>
      </x:c>
      <x:c r="C42" s="37" t="str">
        <x:v>TWO</x:v>
      </x:c>
      <x:c r="D42" s="37" t="str">
        <x:v>Two</x:v>
      </x:c>
      <x:c r="E42" s="37" t="n">
        <x:v>2</x:v>
      </x:c>
      <x:c r="F42" s="45" t="b">
        <x:v>0</x:v>
      </x:c>
    </x:row>
    <x:row r="43">
      <x:c r="A43" s="36" t="str">
        <x:v>WEIGHT_CYCLES</x:v>
      </x:c>
      <x:c r="B43" s="37" t="n">
        <x:v>4</x:v>
      </x:c>
      <x:c r="C43" s="37" t="str">
        <x:v>THREE_FOUR</x:v>
      </x:c>
      <x:c r="D43" s="37" t="str">
        <x:v>Three or four</x:v>
      </x:c>
      <x:c r="E43" s="37" t="n">
        <x:v>3</x:v>
      </x:c>
      <x:c r="F43" s="45" t="b">
        <x:v>0</x:v>
      </x:c>
    </x:row>
    <x:row r="44">
      <x:c r="A44" s="36" t="str">
        <x:v>WEIGHT_CYCLES</x:v>
      </x:c>
      <x:c r="B44" s="37" t="n">
        <x:v>5</x:v>
      </x:c>
      <x:c r="C44" s="37" t="str">
        <x:v>FIVE_PLUS</x:v>
      </x:c>
      <x:c r="D44" s="37" t="str">
        <x:v>Five or more</x:v>
      </x:c>
      <x:c r="E44" s="37" t="n">
        <x:v>4</x:v>
      </x:c>
      <x:c r="F44" s="45" t="b">
        <x:v>0</x:v>
      </x:c>
    </x:row>
    <x:row r="45">
      <x:c r="A45" s="36" t="str">
        <x:v>WEIGHT_CYCLES</x:v>
      </x:c>
      <x:c r="B45" s="37" t="n">
        <x:v>6</x:v>
      </x:c>
      <x:c r="C45" s="37" t="str">
        <x:v>NA</x:v>
      </x:c>
      <x:c r="D45" s="37" t="str">
        <x:v>Not applicable</x:v>
      </x:c>
      <x:c r="E45" s="37"/>
      <x:c r="F45" s="45" t="b">
        <x:v>1</x:v>
      </x:c>
    </x:row>
    <x:row r="46">
      <x:c r="A46" s="36" t="str">
        <x:v>CONDITIONS</x:v>
      </x:c>
      <x:c r="B46" s="37" t="n">
        <x:v>1</x:v>
      </x:c>
      <x:c r="C46" s="37" t="str">
        <x:v>NONE</x:v>
      </x:c>
      <x:c r="D46" s="37" t="str">
        <x:v>None of these</x:v>
      </x:c>
      <x:c r="E46" s="37"/>
      <x:c r="F46" s="45" t="b">
        <x:v>0</x:v>
      </x:c>
    </x:row>
    <x:row r="47">
      <x:c r="A47" s="36" t="str">
        <x:v>CONDITIONS</x:v>
      </x:c>
      <x:c r="B47" s="37" t="n">
        <x:v>2</x:v>
      </x:c>
      <x:c r="C47" s="37" t="str">
        <x:v>T2D</x:v>
      </x:c>
      <x:c r="D47" s="37" t="str">
        <x:v>Type 2 diabetes</x:v>
      </x:c>
      <x:c r="E47" s="37"/>
      <x:c r="F47" s="45" t="b">
        <x:v>0</x:v>
      </x:c>
    </x:row>
    <x:row r="48">
      <x:c r="A48" s="36" t="str">
        <x:v>CONDITIONS</x:v>
      </x:c>
      <x:c r="B48" s="37" t="n">
        <x:v>3</x:v>
      </x:c>
      <x:c r="C48" s="37" t="str">
        <x:v>PREDIABETES</x:v>
      </x:c>
      <x:c r="D48" s="37" t="str">
        <x:v>Prediabetes</x:v>
      </x:c>
      <x:c r="E48" s="37"/>
      <x:c r="F48" s="45" t="b">
        <x:v>0</x:v>
      </x:c>
    </x:row>
    <x:row r="49">
      <x:c r="A49" s="36" t="str">
        <x:v>CONDITIONS</x:v>
      </x:c>
      <x:c r="B49" s="37" t="n">
        <x:v>4</x:v>
      </x:c>
      <x:c r="C49" s="37" t="str">
        <x:v>HTN</x:v>
      </x:c>
      <x:c r="D49" s="37" t="str">
        <x:v>High blood pressure</x:v>
      </x:c>
      <x:c r="E49" s="37"/>
      <x:c r="F49" s="45" t="b">
        <x:v>0</x:v>
      </x:c>
    </x:row>
    <x:row r="50">
      <x:c r="A50" s="36" t="str">
        <x:v>CONDITIONS</x:v>
      </x:c>
      <x:c r="B50" s="37" t="n">
        <x:v>5</x:v>
      </x:c>
      <x:c r="C50" s="37" t="str">
        <x:v>DYSLIPID</x:v>
      </x:c>
      <x:c r="D50" s="37" t="str">
        <x:v>High cholesterol or triglycerides</x:v>
      </x:c>
      <x:c r="E50" s="37"/>
      <x:c r="F50" s="45" t="b">
        <x:v>0</x:v>
      </x:c>
    </x:row>
    <x:row r="51">
      <x:c r="A51" s="36" t="str">
        <x:v>CONDITIONS</x:v>
      </x:c>
      <x:c r="B51" s="37" t="n">
        <x:v>6</x:v>
      </x:c>
      <x:c r="C51" s="37" t="str">
        <x:v>THYROID</x:v>
      </x:c>
      <x:c r="D51" s="37" t="str">
        <x:v>Thyroid condition</x:v>
      </x:c>
      <x:c r="E51" s="37"/>
      <x:c r="F51" s="45" t="b">
        <x:v>0</x:v>
      </x:c>
    </x:row>
    <x:row r="52">
      <x:c r="A52" s="36" t="str">
        <x:v>CONDITIONS</x:v>
      </x:c>
      <x:c r="B52" s="37" t="n">
        <x:v>7</x:v>
      </x:c>
      <x:c r="C52" s="37" t="str">
        <x:v>PCOS</x:v>
      </x:c>
      <x:c r="D52" s="37" t="str">
        <x:v>Polycystic ovary syndrome</x:v>
      </x:c>
      <x:c r="E52" s="37"/>
      <x:c r="F52" s="45" t="b">
        <x:v>0</x:v>
      </x:c>
    </x:row>
    <x:row r="53">
      <x:c r="A53" s="36" t="str">
        <x:v>CONDITIONS</x:v>
      </x:c>
      <x:c r="B53" s="37" t="n">
        <x:v>8</x:v>
      </x:c>
      <x:c r="C53" s="37" t="str">
        <x:v>SLEEP_APNEA</x:v>
      </x:c>
      <x:c r="D53" s="37" t="str">
        <x:v>Sleep apnoea</x:v>
      </x:c>
      <x:c r="E53" s="37"/>
      <x:c r="F53" s="45" t="b">
        <x:v>0</x:v>
      </x:c>
    </x:row>
    <x:row r="54">
      <x:c r="A54" s="36" t="str">
        <x:v>CONDITIONS</x:v>
      </x:c>
      <x:c r="B54" s="37" t="n">
        <x:v>9</x:v>
      </x:c>
      <x:c r="C54" s="37" t="str">
        <x:v>OTHER</x:v>
      </x:c>
      <x:c r="D54" s="37" t="str">
        <x:v>Other</x:v>
      </x:c>
      <x:c r="E54" s="37"/>
      <x:c r="F54" s="45" t="b">
        <x:v>0</x:v>
      </x:c>
    </x:row>
    <x:row r="55">
      <x:c r="A55" s="36" t="str">
        <x:v>CONDITIONS</x:v>
      </x:c>
      <x:c r="B55" s="37" t="n">
        <x:v>10</x:v>
      </x:c>
      <x:c r="C55" s="37" t="str">
        <x:v>PREFER_NOT</x:v>
      </x:c>
      <x:c r="D55" s="37" t="str">
        <x:v>Prefer not to say</x:v>
      </x:c>
      <x:c r="E55" s="37"/>
      <x:c r="F55" s="45" t="b">
        <x:v>0</x:v>
      </x:c>
    </x:row>
    <x:row r="56">
      <x:c r="A56" s="36" t="str">
        <x:v>CONDITIONS</x:v>
      </x:c>
      <x:c r="B56" s="37" t="n">
        <x:v>11</x:v>
      </x:c>
      <x:c r="C56" s="37" t="str">
        <x:v>NA</x:v>
      </x:c>
      <x:c r="D56" s="37" t="str">
        <x:v>Not applicable</x:v>
      </x:c>
      <x:c r="E56" s="37"/>
      <x:c r="F56" s="45" t="b">
        <x:v>1</x:v>
      </x:c>
    </x:row>
    <x:row r="57">
      <x:c r="A57" s="36" t="str">
        <x:v>MEDICATION_CONTEXT</x:v>
      </x:c>
      <x:c r="B57" s="37" t="n">
        <x:v>1</x:v>
      </x:c>
      <x:c r="C57" s="37" t="str">
        <x:v>NONE</x:v>
      </x:c>
      <x:c r="D57" s="37" t="str">
        <x:v>No</x:v>
      </x:c>
      <x:c r="E57" s="37"/>
      <x:c r="F57" s="45" t="b">
        <x:v>0</x:v>
      </x:c>
    </x:row>
    <x:row r="58">
      <x:c r="A58" s="36" t="str">
        <x:v>MEDICATION_CONTEXT</x:v>
      </x:c>
      <x:c r="B58" s="37" t="n">
        <x:v>2</x:v>
      </x:c>
      <x:c r="C58" s="37" t="str">
        <x:v>GLUCOSE</x:v>
      </x:c>
      <x:c r="D58" s="37" t="str">
        <x:v>Glucose-lowering medicine</x:v>
      </x:c>
      <x:c r="E58" s="37"/>
      <x:c r="F58" s="45" t="b">
        <x:v>0</x:v>
      </x:c>
    </x:row>
    <x:row r="59">
      <x:c r="A59" s="36" t="str">
        <x:v>MEDICATION_CONTEXT</x:v>
      </x:c>
      <x:c r="B59" s="37" t="n">
        <x:v>3</x:v>
      </x:c>
      <x:c r="C59" s="37" t="str">
        <x:v>WEIGHT</x:v>
      </x:c>
      <x:c r="D59" s="37" t="str">
        <x:v>Weight-management medicine</x:v>
      </x:c>
      <x:c r="E59" s="37"/>
      <x:c r="F59" s="45" t="b">
        <x:v>0</x:v>
      </x:c>
    </x:row>
    <x:row r="60">
      <x:c r="A60" s="36" t="str">
        <x:v>MEDICATION_CONTEXT</x:v>
      </x:c>
      <x:c r="B60" s="37" t="n">
        <x:v>4</x:v>
      </x:c>
      <x:c r="C60" s="37" t="str">
        <x:v>STEROID</x:v>
      </x:c>
      <x:c r="D60" s="37" t="str">
        <x:v>Long-term corticosteroid</x:v>
      </x:c>
      <x:c r="E60" s="37"/>
      <x:c r="F60" s="45" t="b">
        <x:v>0</x:v>
      </x:c>
    </x:row>
    <x:row r="61">
      <x:c r="A61" s="36" t="str">
        <x:v>MEDICATION_CONTEXT</x:v>
      </x:c>
      <x:c r="B61" s="37" t="n">
        <x:v>5</x:v>
      </x:c>
      <x:c r="C61" s="37" t="str">
        <x:v>HORMONAL</x:v>
      </x:c>
      <x:c r="D61" s="37" t="str">
        <x:v>Hormonal medicine</x:v>
      </x:c>
      <x:c r="E61" s="37"/>
      <x:c r="F61" s="45" t="b">
        <x:v>0</x:v>
      </x:c>
    </x:row>
    <x:row r="62">
      <x:c r="A62" s="36" t="str">
        <x:v>MEDICATION_CONTEXT</x:v>
      </x:c>
      <x:c r="B62" s="37" t="n">
        <x:v>6</x:v>
      </x:c>
      <x:c r="C62" s="37" t="str">
        <x:v>OTHER</x:v>
      </x:c>
      <x:c r="D62" s="37" t="str">
        <x:v>Other relevant medicine</x:v>
      </x:c>
      <x:c r="E62" s="37"/>
      <x:c r="F62" s="45" t="b">
        <x:v>0</x:v>
      </x:c>
    </x:row>
    <x:row r="63">
      <x:c r="A63" s="36" t="str">
        <x:v>MEDICATION_CONTEXT</x:v>
      </x:c>
      <x:c r="B63" s="37" t="n">
        <x:v>7</x:v>
      </x:c>
      <x:c r="C63" s="37" t="str">
        <x:v>UNSURE</x:v>
      </x:c>
      <x:c r="D63" s="37" t="str">
        <x:v>Not sure</x:v>
      </x:c>
      <x:c r="E63" s="37"/>
      <x:c r="F63" s="45" t="b">
        <x:v>0</x:v>
      </x:c>
    </x:row>
    <x:row r="64">
      <x:c r="A64" s="36" t="str">
        <x:v>MEDICATION_CONTEXT</x:v>
      </x:c>
      <x:c r="B64" s="37" t="n">
        <x:v>8</x:v>
      </x:c>
      <x:c r="C64" s="37" t="str">
        <x:v>PREFER_NOT</x:v>
      </x:c>
      <x:c r="D64" s="37" t="str">
        <x:v>Prefer not to say</x:v>
      </x:c>
      <x:c r="E64" s="37"/>
      <x:c r="F64" s="45" t="b">
        <x:v>0</x:v>
      </x:c>
    </x:row>
    <x:row r="65">
      <x:c r="A65" s="36" t="str">
        <x:v>MEDICATION_CONTEXT</x:v>
      </x:c>
      <x:c r="B65" s="37" t="n">
        <x:v>9</x:v>
      </x:c>
      <x:c r="C65" s="37" t="str">
        <x:v>NA</x:v>
      </x:c>
      <x:c r="D65" s="37" t="str">
        <x:v>Not applicable</x:v>
      </x:c>
      <x:c r="E65" s="37"/>
      <x:c r="F65" s="45" t="b">
        <x:v>1</x:v>
      </x:c>
    </x:row>
    <x:row r="66">
      <x:c r="A66" s="36" t="str">
        <x:v>SLEEP_HOURS</x:v>
      </x:c>
      <x:c r="B66" s="37" t="n">
        <x:v>1</x:v>
      </x:c>
      <x:c r="C66" s="37" t="str">
        <x:v>LT5</x:v>
      </x:c>
      <x:c r="D66" s="37" t="str">
        <x:v>Less than 5 hours</x:v>
      </x:c>
      <x:c r="E66" s="37" t="n">
        <x:v>4</x:v>
      </x:c>
      <x:c r="F66" s="45" t="b">
        <x:v>0</x:v>
      </x:c>
    </x:row>
    <x:row r="67">
      <x:c r="A67" s="36" t="str">
        <x:v>SLEEP_HOURS</x:v>
      </x:c>
      <x:c r="B67" s="37" t="n">
        <x:v>2</x:v>
      </x:c>
      <x:c r="C67" s="37" t="str">
        <x:v>H5_6</x:v>
      </x:c>
      <x:c r="D67" s="37" t="str">
        <x:v>5 to less than 6 hours</x:v>
      </x:c>
      <x:c r="E67" s="37" t="n">
        <x:v>3</x:v>
      </x:c>
      <x:c r="F67" s="45" t="b">
        <x:v>0</x:v>
      </x:c>
    </x:row>
    <x:row r="68">
      <x:c r="A68" s="36" t="str">
        <x:v>SLEEP_HOURS</x:v>
      </x:c>
      <x:c r="B68" s="37" t="n">
        <x:v>3</x:v>
      </x:c>
      <x:c r="C68" s="37" t="str">
        <x:v>H6_7</x:v>
      </x:c>
      <x:c r="D68" s="37" t="str">
        <x:v>6 to less than 7 hours</x:v>
      </x:c>
      <x:c r="E68" s="37" t="n">
        <x:v>1</x:v>
      </x:c>
      <x:c r="F68" s="45" t="b">
        <x:v>0</x:v>
      </x:c>
    </x:row>
    <x:row r="69">
      <x:c r="A69" s="36" t="str">
        <x:v>SLEEP_HOURS</x:v>
      </x:c>
      <x:c r="B69" s="37" t="n">
        <x:v>4</x:v>
      </x:c>
      <x:c r="C69" s="37" t="str">
        <x:v>H7_9</x:v>
      </x:c>
      <x:c r="D69" s="37" t="str">
        <x:v>7 to 9 hours</x:v>
      </x:c>
      <x:c r="E69" s="37" t="n">
        <x:v>0</x:v>
      </x:c>
      <x:c r="F69" s="45" t="b">
        <x:v>0</x:v>
      </x:c>
    </x:row>
    <x:row r="70">
      <x:c r="A70" s="36" t="str">
        <x:v>SLEEP_HOURS</x:v>
      </x:c>
      <x:c r="B70" s="37" t="n">
        <x:v>5</x:v>
      </x:c>
      <x:c r="C70" s="37" t="str">
        <x:v>GT9</x:v>
      </x:c>
      <x:c r="D70" s="37" t="str">
        <x:v>More than 9 hours</x:v>
      </x:c>
      <x:c r="E70" s="37" t="n">
        <x:v>2</x:v>
      </x:c>
      <x:c r="F70" s="45" t="b">
        <x:v>0</x:v>
      </x:c>
    </x:row>
    <x:row r="71">
      <x:c r="A71" s="36" t="str">
        <x:v>SLEEP_HOURS</x:v>
      </x:c>
      <x:c r="B71" s="37" t="n">
        <x:v>6</x:v>
      </x:c>
      <x:c r="C71" s="37" t="str">
        <x:v>NA</x:v>
      </x:c>
      <x:c r="D71" s="37" t="str">
        <x:v>Not applicable</x:v>
      </x:c>
      <x:c r="E71" s="37"/>
      <x:c r="F71" s="45" t="b">
        <x:v>1</x:v>
      </x:c>
    </x:row>
    <x:row r="72">
      <x:c r="A72" s="36" t="str">
        <x:v>ACTIVITY_DAYS</x:v>
      </x:c>
      <x:c r="B72" s="37" t="n">
        <x:v>1</x:v>
      </x:c>
      <x:c r="C72" s="37" t="str">
        <x:v>D0</x:v>
      </x:c>
      <x:c r="D72" s="37" t="str">
        <x:v>0 days</x:v>
      </x:c>
      <x:c r="E72" s="37" t="n">
        <x:v>4</x:v>
      </x:c>
      <x:c r="F72" s="45" t="b">
        <x:v>0</x:v>
      </x:c>
    </x:row>
    <x:row r="73">
      <x:c r="A73" s="36" t="str">
        <x:v>ACTIVITY_DAYS</x:v>
      </x:c>
      <x:c r="B73" s="37" t="n">
        <x:v>2</x:v>
      </x:c>
      <x:c r="C73" s="37" t="str">
        <x:v>D1_2</x:v>
      </x:c>
      <x:c r="D73" s="37" t="str">
        <x:v>1-2 days</x:v>
      </x:c>
      <x:c r="E73" s="37" t="n">
        <x:v>3</x:v>
      </x:c>
      <x:c r="F73" s="45" t="b">
        <x:v>0</x:v>
      </x:c>
    </x:row>
    <x:row r="74">
      <x:c r="A74" s="36" t="str">
        <x:v>ACTIVITY_DAYS</x:v>
      </x:c>
      <x:c r="B74" s="37" t="n">
        <x:v>3</x:v>
      </x:c>
      <x:c r="C74" s="37" t="str">
        <x:v>D3_4</x:v>
      </x:c>
      <x:c r="D74" s="37" t="str">
        <x:v>3-4 days</x:v>
      </x:c>
      <x:c r="E74" s="37" t="n">
        <x:v>1</x:v>
      </x:c>
      <x:c r="F74" s="45" t="b">
        <x:v>0</x:v>
      </x:c>
    </x:row>
    <x:row r="75">
      <x:c r="A75" s="36" t="str">
        <x:v>ACTIVITY_DAYS</x:v>
      </x:c>
      <x:c r="B75" s="37" t="n">
        <x:v>4</x:v>
      </x:c>
      <x:c r="C75" s="37" t="str">
        <x:v>D5_7</x:v>
      </x:c>
      <x:c r="D75" s="37" t="str">
        <x:v>5-7 days</x:v>
      </x:c>
      <x:c r="E75" s="37" t="n">
        <x:v>0</x:v>
      </x:c>
      <x:c r="F75" s="45" t="b">
        <x:v>0</x:v>
      </x:c>
    </x:row>
    <x:row r="76">
      <x:c r="A76" s="36" t="str">
        <x:v>ACTIVITY_DAYS</x:v>
      </x:c>
      <x:c r="B76" s="37" t="n">
        <x:v>5</x:v>
      </x:c>
      <x:c r="C76" s="37" t="str">
        <x:v>NA</x:v>
      </x:c>
      <x:c r="D76" s="37" t="str">
        <x:v>Not applicable</x:v>
      </x:c>
      <x:c r="E76" s="37"/>
      <x:c r="F76" s="45" t="b">
        <x:v>1</x:v>
      </x:c>
    </x:row>
    <x:row r="77">
      <x:c r="A77" s="36" t="str">
        <x:v>ACTIVITY_DURATION</x:v>
      </x:c>
      <x:c r="B77" s="37" t="n">
        <x:v>1</x:v>
      </x:c>
      <x:c r="C77" s="37" t="str">
        <x:v>LT10</x:v>
      </x:c>
      <x:c r="D77" s="37" t="str">
        <x:v>Less than 10 minutes</x:v>
      </x:c>
      <x:c r="E77" s="37" t="n">
        <x:v>4</x:v>
      </x:c>
      <x:c r="F77" s="45" t="b">
        <x:v>0</x:v>
      </x:c>
    </x:row>
    <x:row r="78">
      <x:c r="A78" s="36" t="str">
        <x:v>ACTIVITY_DURATION</x:v>
      </x:c>
      <x:c r="B78" s="37" t="n">
        <x:v>2</x:v>
      </x:c>
      <x:c r="C78" s="37" t="str">
        <x:v>M10_29</x:v>
      </x:c>
      <x:c r="D78" s="37" t="str">
        <x:v>10-29 minutes</x:v>
      </x:c>
      <x:c r="E78" s="37" t="n">
        <x:v>3</x:v>
      </x:c>
      <x:c r="F78" s="45" t="b">
        <x:v>0</x:v>
      </x:c>
    </x:row>
    <x:row r="79">
      <x:c r="A79" s="36" t="str">
        <x:v>ACTIVITY_DURATION</x:v>
      </x:c>
      <x:c r="B79" s="37" t="n">
        <x:v>3</x:v>
      </x:c>
      <x:c r="C79" s="37" t="str">
        <x:v>M30_59</x:v>
      </x:c>
      <x:c r="D79" s="37" t="str">
        <x:v>30-59 minutes</x:v>
      </x:c>
      <x:c r="E79" s="37" t="n">
        <x:v>1</x:v>
      </x:c>
      <x:c r="F79" s="45" t="b">
        <x:v>0</x:v>
      </x:c>
    </x:row>
    <x:row r="80">
      <x:c r="A80" s="36" t="str">
        <x:v>ACTIVITY_DURATION</x:v>
      </x:c>
      <x:c r="B80" s="37" t="n">
        <x:v>4</x:v>
      </x:c>
      <x:c r="C80" s="37" t="str">
        <x:v>M60_PLUS</x:v>
      </x:c>
      <x:c r="D80" s="37" t="str">
        <x:v>60 minutes or more</x:v>
      </x:c>
      <x:c r="E80" s="37" t="n">
        <x:v>0</x:v>
      </x:c>
      <x:c r="F80" s="45" t="b">
        <x:v>0</x:v>
      </x:c>
    </x:row>
    <x:row r="81">
      <x:c r="A81" s="36" t="str">
        <x:v>ACTIVITY_DURATION</x:v>
      </x:c>
      <x:c r="B81" s="37" t="n">
        <x:v>5</x:v>
      </x:c>
      <x:c r="C81" s="37" t="str">
        <x:v>NA</x:v>
      </x:c>
      <x:c r="D81" s="37" t="str">
        <x:v>Not applicable</x:v>
      </x:c>
      <x:c r="E81" s="37"/>
      <x:c r="F81" s="45" t="b">
        <x:v>1</x:v>
      </x:c>
    </x:row>
    <x:row r="82">
      <x:c r="A82" s="36" t="str">
        <x:v>ACTIVITY_TYPE</x:v>
      </x:c>
      <x:c r="B82" s="37" t="n">
        <x:v>1</x:v>
      </x:c>
      <x:c r="C82" s="37" t="str">
        <x:v>NONE</x:v>
      </x:c>
      <x:c r="D82" s="37" t="str">
        <x:v>No intentional activity</x:v>
      </x:c>
      <x:c r="E82" s="37" t="n">
        <x:v>4</x:v>
      </x:c>
      <x:c r="F82" s="45" t="b">
        <x:v>0</x:v>
      </x:c>
    </x:row>
    <x:row r="83">
      <x:c r="A83" s="36" t="str">
        <x:v>ACTIVITY_TYPE</x:v>
      </x:c>
      <x:c r="B83" s="37" t="n">
        <x:v>2</x:v>
      </x:c>
      <x:c r="C83" s="37" t="str">
        <x:v>LIGHT</x:v>
      </x:c>
      <x:c r="D83" s="37" t="str">
        <x:v>Light movement or daily activities</x:v>
      </x:c>
      <x:c r="E83" s="37" t="n">
        <x:v>3</x:v>
      </x:c>
      <x:c r="F83" s="45" t="b">
        <x:v>0</x:v>
      </x:c>
    </x:row>
    <x:row r="84">
      <x:c r="A84" s="36" t="str">
        <x:v>ACTIVITY_TYPE</x:v>
      </x:c>
      <x:c r="B84" s="37" t="n">
        <x:v>3</x:v>
      </x:c>
      <x:c r="C84" s="37" t="str">
        <x:v>AEROBIC</x:v>
      </x:c>
      <x:c r="D84" s="37" t="str">
        <x:v>Mostly aerobic activity</x:v>
      </x:c>
      <x:c r="E84" s="37" t="n">
        <x:v>2</x:v>
      </x:c>
      <x:c r="F84" s="45" t="b">
        <x:v>0</x:v>
      </x:c>
    </x:row>
    <x:row r="85">
      <x:c r="A85" s="36" t="str">
        <x:v>ACTIVITY_TYPE</x:v>
      </x:c>
      <x:c r="B85" s="37" t="n">
        <x:v>4</x:v>
      </x:c>
      <x:c r="C85" s="37" t="str">
        <x:v>RESISTANCE</x:v>
      </x:c>
      <x:c r="D85" s="37" t="str">
        <x:v>Mostly resistance training</x:v>
      </x:c>
      <x:c r="E85" s="37" t="n">
        <x:v>1</x:v>
      </x:c>
      <x:c r="F85" s="45" t="b">
        <x:v>0</x:v>
      </x:c>
    </x:row>
    <x:row r="86">
      <x:c r="A86" s="36" t="str">
        <x:v>ACTIVITY_TYPE</x:v>
      </x:c>
      <x:c r="B86" s="37" t="n">
        <x:v>5</x:v>
      </x:c>
      <x:c r="C86" s="37" t="str">
        <x:v>MIXED</x:v>
      </x:c>
      <x:c r="D86" s="37" t="str">
        <x:v>A mix of aerobic and resistance activity</x:v>
      </x:c>
      <x:c r="E86" s="37" t="n">
        <x:v>0</x:v>
      </x:c>
      <x:c r="F86" s="45" t="b">
        <x:v>0</x:v>
      </x:c>
    </x:row>
    <x:row r="87">
      <x:c r="A87" s="36" t="str">
        <x:v>ACTIVITY_TYPE</x:v>
      </x:c>
      <x:c r="B87" s="37" t="n">
        <x:v>6</x:v>
      </x:c>
      <x:c r="C87" s="37" t="str">
        <x:v>NA</x:v>
      </x:c>
      <x:c r="D87" s="37" t="str">
        <x:v>Not applicable</x:v>
      </x:c>
      <x:c r="E87" s="37"/>
      <x:c r="F87" s="45" t="b">
        <x:v>1</x:v>
      </x:c>
    </x:row>
    <x:row r="88">
      <x:c r="A88" s="36" t="str">
        <x:v>STRESS_RESPONSE</x:v>
      </x:c>
      <x:c r="B88" s="37" t="n">
        <x:v>1</x:v>
      </x:c>
      <x:c r="C88" s="37" t="str">
        <x:v>EAT</x:v>
      </x:c>
      <x:c r="D88" s="37" t="str">
        <x:v>Eat or seek snack foods</x:v>
      </x:c>
      <x:c r="E88" s="37"/>
      <x:c r="F88" s="45" t="b">
        <x:v>0</x:v>
      </x:c>
    </x:row>
    <x:row r="89">
      <x:c r="A89" s="36" t="str">
        <x:v>STRESS_RESPONSE</x:v>
      </x:c>
      <x:c r="B89" s="37" t="n">
        <x:v>2</x:v>
      </x:c>
      <x:c r="C89" s="37" t="str">
        <x:v>WITHDRAW</x:v>
      </x:c>
      <x:c r="D89" s="37" t="str">
        <x:v>Withdraw or avoid people</x:v>
      </x:c>
      <x:c r="E89" s="37"/>
      <x:c r="F89" s="45" t="b">
        <x:v>0</x:v>
      </x:c>
    </x:row>
    <x:row r="90">
      <x:c r="A90" s="36" t="str">
        <x:v>STRESS_RESPONSE</x:v>
      </x:c>
      <x:c r="B90" s="37" t="n">
        <x:v>3</x:v>
      </x:c>
      <x:c r="C90" s="37" t="str">
        <x:v>WALK</x:v>
      </x:c>
      <x:c r="D90" s="37" t="str">
        <x:v>Walk or move</x:v>
      </x:c>
      <x:c r="E90" s="37"/>
      <x:c r="F90" s="45" t="b">
        <x:v>0</x:v>
      </x:c>
    </x:row>
    <x:row r="91">
      <x:c r="A91" s="36" t="str">
        <x:v>STRESS_RESPONSE</x:v>
      </x:c>
      <x:c r="B91" s="37" t="n">
        <x:v>4</x:v>
      </x:c>
      <x:c r="C91" s="37" t="str">
        <x:v>BREATHE</x:v>
      </x:c>
      <x:c r="D91" s="37" t="str">
        <x:v>Use breathing or relaxation</x:v>
      </x:c>
      <x:c r="E91" s="37"/>
      <x:c r="F91" s="45" t="b">
        <x:v>0</x:v>
      </x:c>
    </x:row>
    <x:row r="92">
      <x:c r="A92" s="36" t="str">
        <x:v>STRESS_RESPONSE</x:v>
      </x:c>
      <x:c r="B92" s="37" t="n">
        <x:v>5</x:v>
      </x:c>
      <x:c r="C92" s="37" t="str">
        <x:v>TALK</x:v>
      </x:c>
      <x:c r="D92" s="37" t="str">
        <x:v>Talk with someone</x:v>
      </x:c>
      <x:c r="E92" s="37"/>
      <x:c r="F92" s="45" t="b">
        <x:v>0</x:v>
      </x:c>
    </x:row>
    <x:row r="93">
      <x:c r="A93" s="36" t="str">
        <x:v>STRESS_RESPONSE</x:v>
      </x:c>
      <x:c r="B93" s="37" t="n">
        <x:v>6</x:v>
      </x:c>
      <x:c r="C93" s="37" t="str">
        <x:v>WORK_MORE</x:v>
      </x:c>
      <x:c r="D93" s="37" t="str">
        <x:v>Work more or stay busy</x:v>
      </x:c>
      <x:c r="E93" s="37"/>
      <x:c r="F93" s="45" t="b">
        <x:v>0</x:v>
      </x:c>
    </x:row>
    <x:row r="94">
      <x:c r="A94" s="36" t="str">
        <x:v>STRESS_RESPONSE</x:v>
      </x:c>
      <x:c r="B94" s="37" t="n">
        <x:v>7</x:v>
      </x:c>
      <x:c r="C94" s="37" t="str">
        <x:v>OTHER</x:v>
      </x:c>
      <x:c r="D94" s="37" t="str">
        <x:v>Other</x:v>
      </x:c>
      <x:c r="E94" s="37"/>
      <x:c r="F94" s="45" t="b">
        <x:v>0</x:v>
      </x:c>
    </x:row>
    <x:row r="95">
      <x:c r="A95" s="36" t="str">
        <x:v>STRESS_RESPONSE</x:v>
      </x:c>
      <x:c r="B95" s="37" t="n">
        <x:v>8</x:v>
      </x:c>
      <x:c r="C95" s="37" t="str">
        <x:v>UNSURE</x:v>
      </x:c>
      <x:c r="D95" s="37" t="str">
        <x:v>Not sure</x:v>
      </x:c>
      <x:c r="E95" s="37"/>
      <x:c r="F95" s="45" t="b">
        <x:v>0</x:v>
      </x:c>
    </x:row>
    <x:row r="96">
      <x:c r="A96" s="36" t="str">
        <x:v>STRESS_RESPONSE</x:v>
      </x:c>
      <x:c r="B96" s="37" t="n">
        <x:v>9</x:v>
      </x:c>
      <x:c r="C96" s="37" t="str">
        <x:v>NA</x:v>
      </x:c>
      <x:c r="D96" s="37" t="str">
        <x:v>Not applicable</x:v>
      </x:c>
      <x:c r="E96" s="37"/>
      <x:c r="F96" s="45" t="b">
        <x:v>1</x:v>
      </x:c>
    </x:row>
    <x:row r="97">
      <x:c r="A97" s="36" t="str">
        <x:v>HUNGER_CAUSE</x:v>
      </x:c>
      <x:c r="B97" s="37" t="n">
        <x:v>1</x:v>
      </x:c>
      <x:c r="C97" s="37" t="str">
        <x:v>MEAL_COMPOSITION</x:v>
      </x:c>
      <x:c r="D97" s="37" t="str">
        <x:v>Low protein, fibre or meal size</x:v>
      </x:c>
      <x:c r="E97" s="37"/>
      <x:c r="F97" s="45" t="b">
        <x:v>0</x:v>
      </x:c>
    </x:row>
    <x:row r="98">
      <x:c r="A98" s="36" t="str">
        <x:v>HUNGER_CAUSE</x:v>
      </x:c>
      <x:c r="B98" s="37" t="n">
        <x:v>2</x:v>
      </x:c>
      <x:c r="C98" s="37" t="str">
        <x:v>STRESS</x:v>
      </x:c>
      <x:c r="D98" s="37" t="str">
        <x:v>Stress or emotion</x:v>
      </x:c>
      <x:c r="E98" s="37"/>
      <x:c r="F98" s="45" t="b">
        <x:v>0</x:v>
      </x:c>
    </x:row>
    <x:row r="99">
      <x:c r="A99" s="36" t="str">
        <x:v>HUNGER_CAUSE</x:v>
      </x:c>
      <x:c r="B99" s="37" t="n">
        <x:v>3</x:v>
      </x:c>
      <x:c r="C99" s="37" t="str">
        <x:v>SLEEP</x:v>
      </x:c>
      <x:c r="D99" s="37" t="str">
        <x:v>Poor sleep</x:v>
      </x:c>
      <x:c r="E99" s="37"/>
      <x:c r="F99" s="45" t="b">
        <x:v>0</x:v>
      </x:c>
    </x:row>
    <x:row r="100">
      <x:c r="A100" s="36" t="str">
        <x:v>HUNGER_CAUSE</x:v>
      </x:c>
      <x:c r="B100" s="37" t="n">
        <x:v>4</x:v>
      </x:c>
      <x:c r="C100" s="37" t="str">
        <x:v>HABIT</x:v>
      </x:c>
      <x:c r="D100" s="37" t="str">
        <x:v>Habit or availability</x:v>
      </x:c>
      <x:c r="E100" s="37"/>
      <x:c r="F100" s="45" t="b">
        <x:v>0</x:v>
      </x:c>
    </x:row>
    <x:row r="101">
      <x:c r="A101" s="36" t="str">
        <x:v>HUNGER_CAUSE</x:v>
      </x:c>
      <x:c r="B101" s="37" t="n">
        <x:v>5</x:v>
      </x:c>
      <x:c r="C101" s="37" t="str">
        <x:v>MEDICATION</x:v>
      </x:c>
      <x:c r="D101" s="37" t="str">
        <x:v>Medicine-related</x:v>
      </x:c>
      <x:c r="E101" s="37"/>
      <x:c r="F101" s="45" t="b">
        <x:v>0</x:v>
      </x:c>
    </x:row>
    <x:row r="102">
      <x:c r="A102" s="36" t="str">
        <x:v>HUNGER_CAUSE</x:v>
      </x:c>
      <x:c r="B102" s="37" t="n">
        <x:v>6</x:v>
      </x:c>
      <x:c r="C102" s="37" t="str">
        <x:v>UNSURE</x:v>
      </x:c>
      <x:c r="D102" s="37" t="str">
        <x:v>Not sure</x:v>
      </x:c>
      <x:c r="E102" s="37"/>
      <x:c r="F102" s="45" t="b">
        <x:v>0</x:v>
      </x:c>
    </x:row>
    <x:row r="103">
      <x:c r="A103" s="36" t="str">
        <x:v>HUNGER_CAUSE</x:v>
      </x:c>
      <x:c r="B103" s="37" t="n">
        <x:v>7</x:v>
      </x:c>
      <x:c r="C103" s="37" t="str">
        <x:v>OTHER</x:v>
      </x:c>
      <x:c r="D103" s="37" t="str">
        <x:v>Other</x:v>
      </x:c>
      <x:c r="E103" s="37"/>
      <x:c r="F103" s="45" t="b">
        <x:v>0</x:v>
      </x:c>
    </x:row>
    <x:row r="104">
      <x:c r="A104" s="36" t="str">
        <x:v>HUNGER_CAUSE</x:v>
      </x:c>
      <x:c r="B104" s="37" t="n">
        <x:v>8</x:v>
      </x:c>
      <x:c r="C104" s="37" t="str">
        <x:v>NA</x:v>
      </x:c>
      <x:c r="D104" s="37" t="str">
        <x:v>Not applicable</x:v>
      </x:c>
      <x:c r="E104" s="37"/>
      <x:c r="F104" s="45" t="b">
        <x:v>1</x:v>
      </x:c>
    </x:row>
    <x:row r="105">
      <x:c r="A105" s="36" t="str">
        <x:v>ENERGY_CAUSE</x:v>
      </x:c>
      <x:c r="B105" s="37" t="n">
        <x:v>1</x:v>
      </x:c>
      <x:c r="C105" s="37" t="str">
        <x:v>SLEEP</x:v>
      </x:c>
      <x:c r="D105" s="37" t="str">
        <x:v>Sleep or recovery</x:v>
      </x:c>
      <x:c r="E105" s="37"/>
      <x:c r="F105" s="45" t="b">
        <x:v>0</x:v>
      </x:c>
    </x:row>
    <x:row r="106">
      <x:c r="A106" s="36" t="str">
        <x:v>ENERGY_CAUSE</x:v>
      </x:c>
      <x:c r="B106" s="37" t="n">
        <x:v>2</x:v>
      </x:c>
      <x:c r="C106" s="37" t="str">
        <x:v>STRESS</x:v>
      </x:c>
      <x:c r="D106" s="37" t="str">
        <x:v>Stress</x:v>
      </x:c>
      <x:c r="E106" s="37"/>
      <x:c r="F106" s="45" t="b">
        <x:v>0</x:v>
      </x:c>
    </x:row>
    <x:row r="107">
      <x:c r="A107" s="36" t="str">
        <x:v>ENERGY_CAUSE</x:v>
      </x:c>
      <x:c r="B107" s="37" t="n">
        <x:v>3</x:v>
      </x:c>
      <x:c r="C107" s="37" t="str">
        <x:v>INACTIVITY</x:v>
      </x:c>
      <x:c r="D107" s="37" t="str">
        <x:v>Low activity</x:v>
      </x:c>
      <x:c r="E107" s="37"/>
      <x:c r="F107" s="45" t="b">
        <x:v>0</x:v>
      </x:c>
    </x:row>
    <x:row r="108">
      <x:c r="A108" s="36" t="str">
        <x:v>ENERGY_CAUSE</x:v>
      </x:c>
      <x:c r="B108" s="37" t="n">
        <x:v>4</x:v>
      </x:c>
      <x:c r="C108" s="37" t="str">
        <x:v>MEALS</x:v>
      </x:c>
      <x:c r="D108" s="37" t="str">
        <x:v>Meal pattern</x:v>
      </x:c>
      <x:c r="E108" s="37"/>
      <x:c r="F108" s="45" t="b">
        <x:v>0</x:v>
      </x:c>
    </x:row>
    <x:row r="109">
      <x:c r="A109" s="36" t="str">
        <x:v>ENERGY_CAUSE</x:v>
      </x:c>
      <x:c r="B109" s="37" t="n">
        <x:v>5</x:v>
      </x:c>
      <x:c r="C109" s="37" t="str">
        <x:v>MEDICATION</x:v>
      </x:c>
      <x:c r="D109" s="37" t="str">
        <x:v>Medicine-related</x:v>
      </x:c>
      <x:c r="E109" s="37"/>
      <x:c r="F109" s="45" t="b">
        <x:v>0</x:v>
      </x:c>
    </x:row>
    <x:row r="110">
      <x:c r="A110" s="36" t="str">
        <x:v>ENERGY_CAUSE</x:v>
      </x:c>
      <x:c r="B110" s="37" t="n">
        <x:v>6</x:v>
      </x:c>
      <x:c r="C110" s="37" t="str">
        <x:v>HEALTH</x:v>
      </x:c>
      <x:c r="D110" s="37" t="str">
        <x:v>A known health concern</x:v>
      </x:c>
      <x:c r="E110" s="37"/>
      <x:c r="F110" s="45" t="b">
        <x:v>0</x:v>
      </x:c>
    </x:row>
    <x:row r="111">
      <x:c r="A111" s="36" t="str">
        <x:v>ENERGY_CAUSE</x:v>
      </x:c>
      <x:c r="B111" s="37" t="n">
        <x:v>7</x:v>
      </x:c>
      <x:c r="C111" s="37" t="str">
        <x:v>UNSURE</x:v>
      </x:c>
      <x:c r="D111" s="37" t="str">
        <x:v>Not sure</x:v>
      </x:c>
      <x:c r="E111" s="37"/>
      <x:c r="F111" s="45" t="b">
        <x:v>0</x:v>
      </x:c>
    </x:row>
    <x:row r="112">
      <x:c r="A112" s="36" t="str">
        <x:v>ENERGY_CAUSE</x:v>
      </x:c>
      <x:c r="B112" s="37" t="n">
        <x:v>8</x:v>
      </x:c>
      <x:c r="C112" s="37" t="str">
        <x:v>OTHER</x:v>
      </x:c>
      <x:c r="D112" s="37" t="str">
        <x:v>Other</x:v>
      </x:c>
      <x:c r="E112" s="37"/>
      <x:c r="F112" s="45" t="b">
        <x:v>0</x:v>
      </x:c>
    </x:row>
    <x:row r="113">
      <x:c r="A113" s="36" t="str">
        <x:v>ENERGY_CAUSE</x:v>
      </x:c>
      <x:c r="B113" s="37" t="n">
        <x:v>9</x:v>
      </x:c>
      <x:c r="C113" s="37" t="str">
        <x:v>NA</x:v>
      </x:c>
      <x:c r="D113" s="37" t="str">
        <x:v>Not applicable</x:v>
      </x:c>
      <x:c r="E113" s="37"/>
      <x:c r="F113" s="45" t="b">
        <x:v>1</x:v>
      </x:c>
    </x:row>
    <x:row r="114">
      <x:c r="A114" s="36" t="str">
        <x:v>CAFFEINE</x:v>
      </x:c>
      <x:c r="B114" s="37" t="n">
        <x:v>1</x:v>
      </x:c>
      <x:c r="C114" s="37" t="str">
        <x:v>ZERO</x:v>
      </x:c>
      <x:c r="D114" s="37" t="str">
        <x:v>0 drinks</x:v>
      </x:c>
      <x:c r="E114" s="37"/>
      <x:c r="F114" s="45" t="b">
        <x:v>0</x:v>
      </x:c>
    </x:row>
    <x:row r="115">
      <x:c r="A115" s="36" t="str">
        <x:v>CAFFEINE</x:v>
      </x:c>
      <x:c r="B115" s="37" t="n">
        <x:v>2</x:v>
      </x:c>
      <x:c r="C115" s="37" t="str">
        <x:v>ONE</x:v>
      </x:c>
      <x:c r="D115" s="37" t="str">
        <x:v>1 drink</x:v>
      </x:c>
      <x:c r="E115" s="37"/>
      <x:c r="F115" s="45" t="b">
        <x:v>0</x:v>
      </x:c>
    </x:row>
    <x:row r="116">
      <x:c r="A116" s="36" t="str">
        <x:v>CAFFEINE</x:v>
      </x:c>
      <x:c r="B116" s="37" t="n">
        <x:v>3</x:v>
      </x:c>
      <x:c r="C116" s="37" t="str">
        <x:v>TWO</x:v>
      </x:c>
      <x:c r="D116" s="37" t="str">
        <x:v>2 drinks</x:v>
      </x:c>
      <x:c r="E116" s="37"/>
      <x:c r="F116" s="45" t="b">
        <x:v>0</x:v>
      </x:c>
    </x:row>
    <x:row r="117">
      <x:c r="A117" s="36" t="str">
        <x:v>CAFFEINE</x:v>
      </x:c>
      <x:c r="B117" s="37" t="n">
        <x:v>4</x:v>
      </x:c>
      <x:c r="C117" s="37" t="str">
        <x:v>THREE</x:v>
      </x:c>
      <x:c r="D117" s="37" t="str">
        <x:v>3 drinks</x:v>
      </x:c>
      <x:c r="E117" s="37"/>
      <x:c r="F117" s="45" t="b">
        <x:v>0</x:v>
      </x:c>
    </x:row>
    <x:row r="118">
      <x:c r="A118" s="36" t="str">
        <x:v>CAFFEINE</x:v>
      </x:c>
      <x:c r="B118" s="37" t="n">
        <x:v>5</x:v>
      </x:c>
      <x:c r="C118" s="37" t="str">
        <x:v>FOUR_PLUS</x:v>
      </x:c>
      <x:c r="D118" s="37" t="str">
        <x:v>4 or more drinks</x:v>
      </x:c>
      <x:c r="E118" s="37"/>
      <x:c r="F118" s="45" t="b">
        <x:v>0</x:v>
      </x:c>
    </x:row>
    <x:row r="119">
      <x:c r="A119" s="36" t="str">
        <x:v>CAFFEINE</x:v>
      </x:c>
      <x:c r="B119" s="37" t="n">
        <x:v>6</x:v>
      </x:c>
      <x:c r="C119" s="37" t="str">
        <x:v>NA</x:v>
      </x:c>
      <x:c r="D119" s="37" t="str">
        <x:v>Not applicable</x:v>
      </x:c>
      <x:c r="E119" s="37"/>
      <x:c r="F119" s="45" t="b">
        <x:v>1</x:v>
      </x:c>
    </x:row>
    <x:row r="120">
      <x:c r="A120" s="36" t="str">
        <x:v>HORMONAL_STAGE</x:v>
      </x:c>
      <x:c r="B120" s="37" t="n">
        <x:v>1</x:v>
      </x:c>
      <x:c r="C120" s="37" t="str">
        <x:v>NOT_APPLICABLE</x:v>
      </x:c>
      <x:c r="D120" s="37" t="str">
        <x:v>Not applicable to me</x:v>
      </x:c>
      <x:c r="E120" s="37"/>
      <x:c r="F120" s="45" t="b">
        <x:v>0</x:v>
      </x:c>
    </x:row>
    <x:row r="121">
      <x:c r="A121" s="36" t="str">
        <x:v>HORMONAL_STAGE</x:v>
      </x:c>
      <x:c r="B121" s="37" t="n">
        <x:v>2</x:v>
      </x:c>
      <x:c r="C121" s="37" t="str">
        <x:v>REGULAR_CYCLES</x:v>
      </x:c>
      <x:c r="D121" s="37" t="str">
        <x:v>Regular menstrual cycles</x:v>
      </x:c>
      <x:c r="E121" s="37"/>
      <x:c r="F121" s="45" t="b">
        <x:v>0</x:v>
      </x:c>
    </x:row>
    <x:row r="122">
      <x:c r="A122" s="36" t="str">
        <x:v>HORMONAL_STAGE</x:v>
      </x:c>
      <x:c r="B122" s="37" t="n">
        <x:v>3</x:v>
      </x:c>
      <x:c r="C122" s="37" t="str">
        <x:v>IRREGULAR_CYCLES</x:v>
      </x:c>
      <x:c r="D122" s="37" t="str">
        <x:v>Irregular menstrual cycles</x:v>
      </x:c>
      <x:c r="E122" s="37"/>
      <x:c r="F122" s="45" t="b">
        <x:v>0</x:v>
      </x:c>
    </x:row>
    <x:row r="123">
      <x:c r="A123" s="36" t="str">
        <x:v>HORMONAL_STAGE</x:v>
      </x:c>
      <x:c r="B123" s="37" t="n">
        <x:v>4</x:v>
      </x:c>
      <x:c r="C123" s="37" t="str">
        <x:v>PERIMENOPAUSE</x:v>
      </x:c>
      <x:c r="D123" s="37" t="str">
        <x:v>Perimenopause</x:v>
      </x:c>
      <x:c r="E123" s="37"/>
      <x:c r="F123" s="45" t="b">
        <x:v>0</x:v>
      </x:c>
    </x:row>
    <x:row r="124">
      <x:c r="A124" s="36" t="str">
        <x:v>HORMONAL_STAGE</x:v>
      </x:c>
      <x:c r="B124" s="37" t="n">
        <x:v>5</x:v>
      </x:c>
      <x:c r="C124" s="37" t="str">
        <x:v>POSTMENOPAUSE</x:v>
      </x:c>
      <x:c r="D124" s="37" t="str">
        <x:v>Postmenopause</x:v>
      </x:c>
      <x:c r="E124" s="37"/>
      <x:c r="F124" s="45" t="b">
        <x:v>0</x:v>
      </x:c>
    </x:row>
    <x:row r="125">
      <x:c r="A125" s="36" t="str">
        <x:v>HORMONAL_STAGE</x:v>
      </x:c>
      <x:c r="B125" s="37" t="n">
        <x:v>6</x:v>
      </x:c>
      <x:c r="C125" s="37" t="str">
        <x:v>PREGNANT_POSTPARTUM</x:v>
      </x:c>
      <x:c r="D125" s="37" t="str">
        <x:v>Pregnant or within one year after birth</x:v>
      </x:c>
      <x:c r="E125" s="37"/>
      <x:c r="F125" s="45" t="b">
        <x:v>0</x:v>
      </x:c>
    </x:row>
    <x:row r="126">
      <x:c r="A126" s="36" t="str">
        <x:v>HORMONAL_STAGE</x:v>
      </x:c>
      <x:c r="B126" s="37" t="n">
        <x:v>7</x:v>
      </x:c>
      <x:c r="C126" s="37" t="str">
        <x:v>MALE_CONTEXT</x:v>
      </x:c>
      <x:c r="D126" s="37" t="str">
        <x:v>Male hormonal context</x:v>
      </x:c>
      <x:c r="E126" s="37"/>
      <x:c r="F126" s="45" t="b">
        <x:v>0</x:v>
      </x:c>
    </x:row>
    <x:row r="127">
      <x:c r="A127" s="36" t="str">
        <x:v>HORMONAL_STAGE</x:v>
      </x:c>
      <x:c r="B127" s="37" t="n">
        <x:v>8</x:v>
      </x:c>
      <x:c r="C127" s="37" t="str">
        <x:v>OTHER_UNSURE</x:v>
      </x:c>
      <x:c r="D127" s="37" t="str">
        <x:v>Other or unsure</x:v>
      </x:c>
      <x:c r="E127" s="37"/>
      <x:c r="F127" s="45" t="b">
        <x:v>0</x:v>
      </x:c>
    </x:row>
    <x:row r="128">
      <x:c r="A128" s="36" t="str">
        <x:v>HORMONAL_STAGE</x:v>
      </x:c>
      <x:c r="B128" s="37" t="n">
        <x:v>9</x:v>
      </x:c>
      <x:c r="C128" s="37" t="str">
        <x:v>PREFER_NOT</x:v>
      </x:c>
      <x:c r="D128" s="37" t="str">
        <x:v>Prefer not to say</x:v>
      </x:c>
      <x:c r="E128" s="37"/>
      <x:c r="F128" s="45" t="b">
        <x:v>0</x:v>
      </x:c>
    </x:row>
    <x:row r="129">
      <x:c r="A129" s="36" t="str">
        <x:v>TOBACCO</x:v>
      </x:c>
      <x:c r="B129" s="37" t="n">
        <x:v>1</x:v>
      </x:c>
      <x:c r="C129" s="37" t="str">
        <x:v>NEVER</x:v>
      </x:c>
      <x:c r="D129" s="37" t="str">
        <x:v>Never</x:v>
      </x:c>
      <x:c r="E129" s="37"/>
      <x:c r="F129" s="45" t="b">
        <x:v>0</x:v>
      </x:c>
    </x:row>
    <x:row r="130">
      <x:c r="A130" s="36" t="str">
        <x:v>TOBACCO</x:v>
      </x:c>
      <x:c r="B130" s="37" t="n">
        <x:v>2</x:v>
      </x:c>
      <x:c r="C130" s="37" t="str">
        <x:v>FORMER</x:v>
      </x:c>
      <x:c r="D130" s="37" t="str">
        <x:v>Former use</x:v>
      </x:c>
      <x:c r="E130" s="37"/>
      <x:c r="F130" s="45" t="b">
        <x:v>0</x:v>
      </x:c>
    </x:row>
    <x:row r="131">
      <x:c r="A131" s="36" t="str">
        <x:v>TOBACCO</x:v>
      </x:c>
      <x:c r="B131" s="37" t="n">
        <x:v>3</x:v>
      </x:c>
      <x:c r="C131" s="37" t="str">
        <x:v>OCCASIONAL</x:v>
      </x:c>
      <x:c r="D131" s="37" t="str">
        <x:v>Occasional</x:v>
      </x:c>
      <x:c r="E131" s="37"/>
      <x:c r="F131" s="45" t="b">
        <x:v>0</x:v>
      </x:c>
    </x:row>
    <x:row r="132">
      <x:c r="A132" s="36" t="str">
        <x:v>TOBACCO</x:v>
      </x:c>
      <x:c r="B132" s="37" t="n">
        <x:v>4</x:v>
      </x:c>
      <x:c r="C132" s="37" t="str">
        <x:v>DAILY</x:v>
      </x:c>
      <x:c r="D132" s="37" t="str">
        <x:v>Daily</x:v>
      </x:c>
      <x:c r="E132" s="37"/>
      <x:c r="F132" s="45" t="b">
        <x:v>0</x:v>
      </x:c>
    </x:row>
    <x:row r="133">
      <x:c r="A133" s="36" t="str">
        <x:v>TOBACCO</x:v>
      </x:c>
      <x:c r="B133" s="37" t="n">
        <x:v>5</x:v>
      </x:c>
      <x:c r="C133" s="37" t="str">
        <x:v>PREFER_NOT</x:v>
      </x:c>
      <x:c r="D133" s="37" t="str">
        <x:v>Prefer not to say</x:v>
      </x:c>
      <x:c r="E133" s="37"/>
      <x:c r="F133" s="45" t="b">
        <x:v>0</x:v>
      </x:c>
    </x:row>
    <x:row r="134">
      <x:c r="A134" s="36" t="str">
        <x:v>TOBACCO</x:v>
      </x:c>
      <x:c r="B134" s="37" t="n">
        <x:v>6</x:v>
      </x:c>
      <x:c r="C134" s="37" t="str">
        <x:v>NA</x:v>
      </x:c>
      <x:c r="D134" s="37" t="str">
        <x:v>Not applicable</x:v>
      </x:c>
      <x:c r="E134" s="37"/>
      <x:c r="F134" s="45" t="b">
        <x:v>1</x:v>
      </x:c>
    </x:row>
    <x:row r="135">
      <x:c r="A135" s="36" t="str">
        <x:v>ALCOHOL</x:v>
      </x:c>
      <x:c r="B135" s="37" t="n">
        <x:v>1</x:v>
      </x:c>
      <x:c r="C135" s="37" t="str">
        <x:v>NEVER</x:v>
      </x:c>
      <x:c r="D135" s="37" t="str">
        <x:v>Never</x:v>
      </x:c>
      <x:c r="E135" s="37"/>
      <x:c r="F135" s="45" t="b">
        <x:v>0</x:v>
      </x:c>
    </x:row>
    <x:row r="136">
      <x:c r="A136" s="36" t="str">
        <x:v>ALCOHOL</x:v>
      </x:c>
      <x:c r="B136" s="37" t="n">
        <x:v>2</x:v>
      </x:c>
      <x:c r="C136" s="37" t="str">
        <x:v>MONTHLY</x:v>
      </x:c>
      <x:c r="D136" s="37" t="str">
        <x:v>Monthly or less</x:v>
      </x:c>
      <x:c r="E136" s="37"/>
      <x:c r="F136" s="45" t="b">
        <x:v>0</x:v>
      </x:c>
    </x:row>
    <x:row r="137">
      <x:c r="A137" s="36" t="str">
        <x:v>ALCOHOL</x:v>
      </x:c>
      <x:c r="B137" s="37" t="n">
        <x:v>3</x:v>
      </x:c>
      <x:c r="C137" s="37" t="str">
        <x:v>WEEKLY</x:v>
      </x:c>
      <x:c r="D137" s="37" t="str">
        <x:v>1-2 days per week</x:v>
      </x:c>
      <x:c r="E137" s="37"/>
      <x:c r="F137" s="45" t="b">
        <x:v>0</x:v>
      </x:c>
    </x:row>
    <x:row r="138">
      <x:c r="A138" s="36" t="str">
        <x:v>ALCOHOL</x:v>
      </x:c>
      <x:c r="B138" s="37" t="n">
        <x:v>4</x:v>
      </x:c>
      <x:c r="C138" s="37" t="str">
        <x:v>FREQUENT</x:v>
      </x:c>
      <x:c r="D138" s="37" t="str">
        <x:v>3 or more days per week</x:v>
      </x:c>
      <x:c r="E138" s="37"/>
      <x:c r="F138" s="45" t="b">
        <x:v>0</x:v>
      </x:c>
    </x:row>
    <x:row r="139">
      <x:c r="A139" s="36" t="str">
        <x:v>ALCOHOL</x:v>
      </x:c>
      <x:c r="B139" s="37" t="n">
        <x:v>5</x:v>
      </x:c>
      <x:c r="C139" s="37" t="str">
        <x:v>PREFER_NOT</x:v>
      </x:c>
      <x:c r="D139" s="37" t="str">
        <x:v>Prefer not to say</x:v>
      </x:c>
      <x:c r="E139" s="37"/>
      <x:c r="F139" s="45" t="b">
        <x:v>0</x:v>
      </x:c>
    </x:row>
    <x:row r="140">
      <x:c r="A140" s="36" t="str">
        <x:v>ALCOHOL</x:v>
      </x:c>
      <x:c r="B140" s="37" t="n">
        <x:v>6</x:v>
      </x:c>
      <x:c r="C140" s="37" t="str">
        <x:v>NA</x:v>
      </x:c>
      <x:c r="D140" s="37" t="str">
        <x:v>Not applicable</x:v>
      </x:c>
      <x:c r="E140" s="37"/>
      <x:c r="F140" s="45" t="b">
        <x:v>1</x:v>
      </x:c>
    </x:row>
    <x:row r="141">
      <x:c r="A141" s="36" t="str">
        <x:v>EATING_PATTERN</x:v>
      </x:c>
      <x:c r="B141" s="37" t="n">
        <x:v>1</x:v>
      </x:c>
      <x:c r="C141" s="37" t="str">
        <x:v>REGULAR_BALANCED</x:v>
      </x:c>
      <x:c r="D141" s="37" t="str">
        <x:v>Regular meals with varied foods</x:v>
      </x:c>
      <x:c r="E141" s="37"/>
      <x:c r="F141" s="45" t="b">
        <x:v>0</x:v>
      </x:c>
    </x:row>
    <x:row r="142">
      <x:c r="A142" s="36" t="str">
        <x:v>EATING_PATTERN</x:v>
      </x:c>
      <x:c r="B142" s="37" t="n">
        <x:v>2</x:v>
      </x:c>
      <x:c r="C142" s="37" t="str">
        <x:v>IRREGULAR</x:v>
      </x:c>
      <x:c r="D142" s="37" t="str">
        <x:v>Irregular meals</x:v>
      </x:c>
      <x:c r="E142" s="37"/>
      <x:c r="F142" s="45" t="b">
        <x:v>0</x:v>
      </x:c>
    </x:row>
    <x:row r="143">
      <x:c r="A143" s="36" t="str">
        <x:v>EATING_PATTERN</x:v>
      </x:c>
      <x:c r="B143" s="37" t="n">
        <x:v>3</x:v>
      </x:c>
      <x:c r="C143" s="37" t="str">
        <x:v>FREQUENT_SNACKING</x:v>
      </x:c>
      <x:c r="D143" s="37" t="str">
        <x:v>Frequent grazing or snacking</x:v>
      </x:c>
      <x:c r="E143" s="37"/>
      <x:c r="F143" s="45" t="b">
        <x:v>0</x:v>
      </x:c>
    </x:row>
    <x:row r="144">
      <x:c r="A144" s="36" t="str">
        <x:v>EATING_PATTERN</x:v>
      </x:c>
      <x:c r="B144" s="37" t="n">
        <x:v>4</x:v>
      </x:c>
      <x:c r="C144" s="37" t="str">
        <x:v>RESTRICT_BINGE</x:v>
      </x:c>
      <x:c r="D144" s="37" t="str">
        <x:v>Alternating restriction and overeating</x:v>
      </x:c>
      <x:c r="E144" s="37"/>
      <x:c r="F144" s="45" t="b">
        <x:v>0</x:v>
      </x:c>
    </x:row>
    <x:row r="145">
      <x:c r="A145" s="36" t="str">
        <x:v>EATING_PATTERN</x:v>
      </x:c>
      <x:c r="B145" s="37" t="n">
        <x:v>5</x:v>
      </x:c>
      <x:c r="C145" s="37" t="str">
        <x:v>SPECIAL_DIET</x:v>
      </x:c>
      <x:c r="D145" s="37" t="str">
        <x:v>A specific dietary pattern</x:v>
      </x:c>
      <x:c r="E145" s="37"/>
      <x:c r="F145" s="45" t="b">
        <x:v>0</x:v>
      </x:c>
    </x:row>
    <x:row r="146">
      <x:c r="A146" s="36" t="str">
        <x:v>EATING_PATTERN</x:v>
      </x:c>
      <x:c r="B146" s="37" t="n">
        <x:v>6</x:v>
      </x:c>
      <x:c r="C146" s="37" t="str">
        <x:v>OTHER</x:v>
      </x:c>
      <x:c r="D146" s="37" t="str">
        <x:v>Other</x:v>
      </x:c>
      <x:c r="E146" s="37"/>
      <x:c r="F146" s="45" t="b">
        <x:v>0</x:v>
      </x:c>
    </x:row>
    <x:row r="147">
      <x:c r="A147" s="36" t="str">
        <x:v>EATING_PATTERN</x:v>
      </x:c>
      <x:c r="B147" s="37" t="n">
        <x:v>7</x:v>
      </x:c>
      <x:c r="C147" s="37" t="str">
        <x:v>NA</x:v>
      </x:c>
      <x:c r="D147" s="37" t="str">
        <x:v>Not applicable</x:v>
      </x:c>
      <x:c r="E147" s="37"/>
      <x:c r="F147" s="45" t="b">
        <x:v>1</x:v>
      </x:c>
    </x:row>
    <x:row r="148">
      <x:c r="A148" s="36" t="str">
        <x:v>SUPPORT_LEVEL</x:v>
      </x:c>
      <x:c r="B148" s="37" t="n">
        <x:v>1</x:v>
      </x:c>
      <x:c r="C148" s="37" t="str">
        <x:v>NONE</x:v>
      </x:c>
      <x:c r="D148" s="37" t="str">
        <x:v>Not at all supportive</x:v>
      </x:c>
      <x:c r="E148" s="37"/>
      <x:c r="F148" s="45" t="b">
        <x:v>0</x:v>
      </x:c>
    </x:row>
    <x:row r="149">
      <x:c r="A149" s="36" t="str">
        <x:v>SUPPORT_LEVEL</x:v>
      </x:c>
      <x:c r="B149" s="37" t="n">
        <x:v>2</x:v>
      </x:c>
      <x:c r="C149" s="37" t="str">
        <x:v>LOW</x:v>
      </x:c>
      <x:c r="D149" s="37" t="str">
        <x:v>A little supportive</x:v>
      </x:c>
      <x:c r="E149" s="37"/>
      <x:c r="F149" s="45" t="b">
        <x:v>0</x:v>
      </x:c>
    </x:row>
    <x:row r="150">
      <x:c r="A150" s="36" t="str">
        <x:v>SUPPORT_LEVEL</x:v>
      </x:c>
      <x:c r="B150" s="37" t="n">
        <x:v>3</x:v>
      </x:c>
      <x:c r="C150" s="37" t="str">
        <x:v>MIXED</x:v>
      </x:c>
      <x:c r="D150" s="37" t="str">
        <x:v>Mixed or inconsistent</x:v>
      </x:c>
      <x:c r="E150" s="37"/>
      <x:c r="F150" s="45" t="b">
        <x:v>0</x:v>
      </x:c>
    </x:row>
    <x:row r="151">
      <x:c r="A151" s="36" t="str">
        <x:v>SUPPORT_LEVEL</x:v>
      </x:c>
      <x:c r="B151" s="37" t="n">
        <x:v>4</x:v>
      </x:c>
      <x:c r="C151" s="37" t="str">
        <x:v>GOOD</x:v>
      </x:c>
      <x:c r="D151" s="37" t="str">
        <x:v>Supportive</x:v>
      </x:c>
      <x:c r="E151" s="37"/>
      <x:c r="F151" s="45" t="b">
        <x:v>0</x:v>
      </x:c>
    </x:row>
    <x:row r="152">
      <x:c r="A152" s="36" t="str">
        <x:v>SUPPORT_LEVEL</x:v>
      </x:c>
      <x:c r="B152" s="37" t="n">
        <x:v>5</x:v>
      </x:c>
      <x:c r="C152" s="37" t="str">
        <x:v>STRONG</x:v>
      </x:c>
      <x:c r="D152" s="37" t="str">
        <x:v>Very supportive</x:v>
      </x:c>
      <x:c r="E152" s="37"/>
      <x:c r="F152" s="45" t="b">
        <x:v>0</x:v>
      </x:c>
    </x:row>
    <x:row r="153">
      <x:c r="A153" s="36" t="str">
        <x:v>SUPPORT_LEVEL</x:v>
      </x:c>
      <x:c r="B153" s="37" t="n">
        <x:v>6</x:v>
      </x:c>
      <x:c r="C153" s="37" t="str">
        <x:v>NA</x:v>
      </x:c>
      <x:c r="D153" s="37" t="str">
        <x:v>Not applicable</x:v>
      </x:c>
      <x:c r="E153" s="37"/>
      <x:c r="F153" s="45" t="b">
        <x:v>1</x:v>
      </x:c>
    </x:row>
    <x:row r="154">
      <x:c r="A154" s="36" t="str">
        <x:v>PRIMARY_GOAL</x:v>
      </x:c>
      <x:c r="B154" s="37" t="n">
        <x:v>1</x:v>
      </x:c>
      <x:c r="C154" s="37" t="str">
        <x:v>WEIGHT</x:v>
      </x:c>
      <x:c r="D154" s="37" t="str">
        <x:v>Understand weight resistance</x:v>
      </x:c>
      <x:c r="E154" s="37"/>
      <x:c r="F154" s="45" t="b">
        <x:v>0</x:v>
      </x:c>
    </x:row>
    <x:row r="155">
      <x:c r="A155" s="36" t="str">
        <x:v>PRIMARY_GOAL</x:v>
      </x:c>
      <x:c r="B155" s="37" t="n">
        <x:v>2</x:v>
      </x:c>
      <x:c r="C155" s="37" t="str">
        <x:v>ENERGY</x:v>
      </x:c>
      <x:c r="D155" s="37" t="str">
        <x:v>Improve energy</x:v>
      </x:c>
      <x:c r="E155" s="37"/>
      <x:c r="F155" s="45" t="b">
        <x:v>0</x:v>
      </x:c>
    </x:row>
    <x:row r="156">
      <x:c r="A156" s="36" t="str">
        <x:v>PRIMARY_GOAL</x:v>
      </x:c>
      <x:c r="B156" s="37" t="n">
        <x:v>3</x:v>
      </x:c>
      <x:c r="C156" s="37" t="str">
        <x:v>SLEEP</x:v>
      </x:c>
      <x:c r="D156" s="37" t="str">
        <x:v>Improve sleep and recovery</x:v>
      </x:c>
      <x:c r="E156" s="37"/>
      <x:c r="F156" s="45" t="b">
        <x:v>0</x:v>
      </x:c>
    </x:row>
    <x:row r="157">
      <x:c r="A157" s="36" t="str">
        <x:v>PRIMARY_GOAL</x:v>
      </x:c>
      <x:c r="B157" s="37" t="n">
        <x:v>4</x:v>
      </x:c>
      <x:c r="C157" s="37" t="str">
        <x:v>CRAVINGS</x:v>
      </x:c>
      <x:c r="D157" s="37" t="str">
        <x:v>Understand hunger or cravings</x:v>
      </x:c>
      <x:c r="E157" s="37"/>
      <x:c r="F157" s="45" t="b">
        <x:v>0</x:v>
      </x:c>
    </x:row>
    <x:row r="158">
      <x:c r="A158" s="36" t="str">
        <x:v>PRIMARY_GOAL</x:v>
      </x:c>
      <x:c r="B158" s="37" t="n">
        <x:v>5</x:v>
      </x:c>
      <x:c r="C158" s="37" t="str">
        <x:v>STRESS</x:v>
      </x:c>
      <x:c r="D158" s="37" t="str">
        <x:v>Understand stress patterns</x:v>
      </x:c>
      <x:c r="E158" s="37"/>
      <x:c r="F158" s="45" t="b">
        <x:v>0</x:v>
      </x:c>
    </x:row>
    <x:row r="159">
      <x:c r="A159" s="36" t="str">
        <x:v>PRIMARY_GOAL</x:v>
      </x:c>
      <x:c r="B159" s="37" t="n">
        <x:v>6</x:v>
      </x:c>
      <x:c r="C159" s="37" t="str">
        <x:v>PREVENTION</x:v>
      </x:c>
      <x:c r="D159" s="37" t="str">
        <x:v>Support long-term prevention and healthy ageing</x:v>
      </x:c>
      <x:c r="E159" s="37"/>
      <x:c r="F159" s="45" t="b">
        <x:v>0</x:v>
      </x:c>
    </x:row>
    <x:row r="160">
      <x:c r="A160" s="36" t="str">
        <x:v>PRIMARY_GOAL</x:v>
      </x:c>
      <x:c r="B160" s="37" t="n">
        <x:v>7</x:v>
      </x:c>
      <x:c r="C160" s="37" t="str">
        <x:v>OTHER</x:v>
      </x:c>
      <x:c r="D160" s="37" t="str">
        <x:v>Other</x:v>
      </x:c>
      <x:c r="E160" s="37"/>
      <x:c r="F160" s="45" t="b">
        <x:v>0</x:v>
      </x:c>
    </x:row>
    <x:row r="161">
      <x:c r="A161" s="36" t="str">
        <x:v>PRIORITY_AREA</x:v>
      </x:c>
      <x:c r="B161" s="37" t="n">
        <x:v>1</x:v>
      </x:c>
      <x:c r="C161" s="37" t="str">
        <x:v>MR</x:v>
      </x:c>
      <x:c r="D161" s="37" t="str">
        <x:v>Metabolic resistance</x:v>
      </x:c>
      <x:c r="E161" s="37"/>
      <x:c r="F161" s="45" t="b">
        <x:v>0</x:v>
      </x:c>
    </x:row>
    <x:row r="162">
      <x:c r="A162" s="36" t="str">
        <x:v>PRIORITY_AREA</x:v>
      </x:c>
      <x:c r="B162" s="37" t="n">
        <x:v>2</x:v>
      </x:c>
      <x:c r="C162" s="37" t="str">
        <x:v>HS</x:v>
      </x:c>
      <x:c r="D162" s="37" t="str">
        <x:v>Hunger and satiety</x:v>
      </x:c>
      <x:c r="E162" s="37"/>
      <x:c r="F162" s="45" t="b">
        <x:v>0</x:v>
      </x:c>
    </x:row>
    <x:row r="163">
      <x:c r="A163" s="36" t="str">
        <x:v>PRIORITY_AREA</x:v>
      </x:c>
      <x:c r="B163" s="37" t="n">
        <x:v>3</x:v>
      </x:c>
      <x:c r="C163" s="37" t="str">
        <x:v>SR</x:v>
      </x:c>
      <x:c r="D163" s="37" t="str">
        <x:v>Sleep recovery</x:v>
      </x:c>
      <x:c r="E163" s="37"/>
      <x:c r="F163" s="45" t="b">
        <x:v>0</x:v>
      </x:c>
    </x:row>
    <x:row r="164">
      <x:c r="A164" s="36" t="str">
        <x:v>PRIORITY_AREA</x:v>
      </x:c>
      <x:c r="B164" s="37" t="n">
        <x:v>4</x:v>
      </x:c>
      <x:c r="C164" s="37" t="str">
        <x:v>CH</x:v>
      </x:c>
      <x:c r="D164" s="37" t="str">
        <x:v>Circadian health</x:v>
      </x:c>
      <x:c r="E164" s="37"/>
      <x:c r="F164" s="45" t="b">
        <x:v>0</x:v>
      </x:c>
    </x:row>
    <x:row r="165">
      <x:c r="A165" s="36" t="str">
        <x:v>PRIORITY_AREA</x:v>
      </x:c>
      <x:c r="B165" s="37" t="n">
        <x:v>5</x:v>
      </x:c>
      <x:c r="C165" s="37" t="str">
        <x:v>SL</x:v>
      </x:c>
      <x:c r="D165" s="37" t="str">
        <x:v>Stress load</x:v>
      </x:c>
      <x:c r="E165" s="37"/>
      <x:c r="F165" s="45" t="b">
        <x:v>0</x:v>
      </x:c>
    </x:row>
    <x:row r="166">
      <x:c r="A166" s="36" t="str">
        <x:v>PRIORITY_AREA</x:v>
      </x:c>
      <x:c r="B166" s="37" t="n">
        <x:v>6</x:v>
      </x:c>
      <x:c r="C166" s="37" t="str">
        <x:v>IB</x:v>
      </x:c>
      <x:c r="D166" s="37" t="str">
        <x:v>Inflammation burden</x:v>
      </x:c>
      <x:c r="E166" s="37"/>
      <x:c r="F166" s="45" t="b">
        <x:v>0</x:v>
      </x:c>
    </x:row>
    <x:row r="167">
      <x:c r="A167" s="36" t="str">
        <x:v>PRIORITY_AREA</x:v>
      </x:c>
      <x:c r="B167" s="37" t="n">
        <x:v>7</x:v>
      </x:c>
      <x:c r="C167" s="37" t="str">
        <x:v>BS</x:v>
      </x:c>
      <x:c r="D167" s="37" t="str">
        <x:v>Biological safety</x:v>
      </x:c>
      <x:c r="E167" s="37"/>
      <x:c r="F167" s="45" t="b">
        <x:v>0</x:v>
      </x:c>
    </x:row>
    <x:row r="168">
      <x:c r="A168" s="36" t="str">
        <x:v>PRIORITY_AREA</x:v>
      </x:c>
      <x:c r="B168" s="37" t="n">
        <x:v>8</x:v>
      </x:c>
      <x:c r="C168" s="37" t="str">
        <x:v>UNSURE</x:v>
      </x:c>
      <x:c r="D168" s="37" t="str">
        <x:v>Not sure</x:v>
      </x:c>
      <x:c r="E168" s="37"/>
      <x:c r="F168" s="45" t="b">
        <x:v>0</x:v>
      </x:c>
    </x:row>
    <x:row r="169">
      <x:c r="A169" s="36" t="str">
        <x:v>CHANGE_PACE</x:v>
      </x:c>
      <x:c r="B169" s="37" t="n">
        <x:v>1</x:v>
      </x:c>
      <x:c r="C169" s="37" t="str">
        <x:v>ONE_STEP</x:v>
      </x:c>
      <x:c r="D169" s="37" t="str">
        <x:v>One small step at a time</x:v>
      </x:c>
      <x:c r="E169" s="37"/>
      <x:c r="F169" s="45" t="b">
        <x:v>0</x:v>
      </x:c>
    </x:row>
    <x:row r="170">
      <x:c r="A170" s="36" t="str">
        <x:v>CHANGE_PACE</x:v>
      </x:c>
      <x:c r="B170" s="37" t="n">
        <x:v>2</x:v>
      </x:c>
      <x:c r="C170" s="37" t="str">
        <x:v>TWO_THREE</x:v>
      </x:c>
      <x:c r="D170" s="37" t="str">
        <x:v>Two or three coordinated changes</x:v>
      </x:c>
      <x:c r="E170" s="37"/>
      <x:c r="F170" s="45" t="b">
        <x:v>0</x:v>
      </x:c>
    </x:row>
    <x:row r="171">
      <x:c r="A171" s="36" t="str">
        <x:v>CHANGE_PACE</x:v>
      </x:c>
      <x:c r="B171" s="37" t="n">
        <x:v>3</x:v>
      </x:c>
      <x:c r="C171" s="37" t="str">
        <x:v>STRUCTURED</x:v>
      </x:c>
      <x:c r="D171" s="37" t="str">
        <x:v>A structured 90-day plan</x:v>
      </x:c>
      <x:c r="E171" s="37"/>
      <x:c r="F171" s="45" t="b">
        <x:v>0</x:v>
      </x:c>
    </x:row>
    <x:row r="172">
      <x:c r="A172" s="36" t="str">
        <x:v>CHANGE_PACE</x:v>
      </x:c>
      <x:c r="B172" s="37" t="n">
        <x:v>4</x:v>
      </x:c>
      <x:c r="C172" s="37" t="str">
        <x:v>UNDERSTAND_FIRST</x:v>
      </x:c>
      <x:c r="D172" s="37" t="str">
        <x:v>I want to understand first</x:v>
      </x:c>
      <x:c r="E172" s="37"/>
      <x:c r="F172" s="45" t="b">
        <x:v>0</x:v>
      </x:c>
    </x:row>
    <x:row r="173">
      <x:c r="A173" s="36" t="str">
        <x:v>ANSWER_CONFIDENCE</x:v>
      </x:c>
      <x:c r="B173" s="37" t="n">
        <x:v>1</x:v>
      </x:c>
      <x:c r="C173" s="37" t="str">
        <x:v>LOW</x:v>
      </x:c>
      <x:c r="D173" s="37" t="str">
        <x:v>Not very confident</x:v>
      </x:c>
      <x:c r="E173" s="37" t="n">
        <x:v>25</x:v>
      </x:c>
      <x:c r="F173" s="45" t="b">
        <x:v>0</x:v>
      </x:c>
    </x:row>
    <x:row r="174">
      <x:c r="A174" s="36" t="str">
        <x:v>ANSWER_CONFIDENCE</x:v>
      </x:c>
      <x:c r="B174" s="37" t="n">
        <x:v>2</x:v>
      </x:c>
      <x:c r="C174" s="37" t="str">
        <x:v>MODERATE</x:v>
      </x:c>
      <x:c r="D174" s="37" t="str">
        <x:v>Moderately confident</x:v>
      </x:c>
      <x:c r="E174" s="37" t="n">
        <x:v>50</x:v>
      </x:c>
      <x:c r="F174" s="45" t="b">
        <x:v>0</x:v>
      </x:c>
    </x:row>
    <x:row r="175">
      <x:c r="A175" s="36" t="str">
        <x:v>ANSWER_CONFIDENCE</x:v>
      </x:c>
      <x:c r="B175" s="37" t="n">
        <x:v>3</x:v>
      </x:c>
      <x:c r="C175" s="37" t="str">
        <x:v>HIGH</x:v>
      </x:c>
      <x:c r="D175" s="37" t="str">
        <x:v>Confident</x:v>
      </x:c>
      <x:c r="E175" s="37" t="n">
        <x:v>75</x:v>
      </x:c>
      <x:c r="F175" s="45" t="b">
        <x:v>0</x:v>
      </x:c>
    </x:row>
    <x:row r="176">
      <x:c r="A176" s="39" t="str">
        <x:v>ANSWER_CONFIDENCE</x:v>
      </x:c>
      <x:c r="B176" s="40" t="n">
        <x:v>4</x:v>
      </x:c>
      <x:c r="C176" s="40" t="str">
        <x:v>VERY_HIGH</x:v>
      </x:c>
      <x:c r="D176" s="40" t="str">
        <x:v>Very confident</x:v>
      </x:c>
      <x:c r="E176" s="40" t="n">
        <x:v>100</x:v>
      </x:c>
      <x:c r="F176" s="46" t="b">
        <x:v>0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5" hidden="0" customWidth="1"/>
    <x:col min="4" max="4" width="60" hidden="0" customWidth="1"/>
    <x:col min="5" max="5" width="14" hidden="0" customWidth="1"/>
  </x:cols>
  <x:sheetData>
    <x:row r="1" ht="30" customHeight="1">
      <x:c r="A1" s="30" t="str">
        <x:v>Validation &amp; Submission Rules</x:v>
      </x:c>
      <x:c r="B1" s="30"/>
      <x:c r="C1" s="30"/>
      <x:c r="D1" s="30"/>
      <x:c r="E1" s="30"/>
    </x:row>
    <x:row r="2">
      <x:c r="A2" s="31" t="str">
        <x:v>Server-side validation is authoritative; the browser repeats the same rules for immediate feedback.</x:v>
      </x:c>
      <x:c r="B2" s="31"/>
      <x:c r="C2" s="31"/>
      <x:c r="D2" s="31"/>
      <x:c r="E2" s="31"/>
    </x:row>
    <x:row r="3">
      <x:c r="A3" s="31"/>
      <x:c r="B3" s="31"/>
      <x:c r="C3" s="31"/>
      <x:c r="D3" s="31"/>
      <x:c r="E3" s="31"/>
    </x:row>
    <x:row r="4">
      <x:c r="A4" s="32"/>
      <x:c r="B4" s="32"/>
      <x:c r="C4" s="32"/>
      <x:c r="D4" s="32"/>
      <x:c r="E4" s="32"/>
    </x:row>
    <x:row r="5">
      <x:c r="A5" s="33" t="str">
        <x:v>rule_id</x:v>
      </x:c>
      <x:c r="B5" s="34" t="str">
        <x:v>applies_to</x:v>
      </x:c>
      <x:c r="C5" s="34" t="str">
        <x:v>rule</x:v>
      </x:c>
      <x:c r="D5" s="34" t="str">
        <x:v>approved_error_or_behavior</x:v>
      </x:c>
      <x:c r="E5" s="35" t="str">
        <x:v>severity</x:v>
      </x:c>
    </x:row>
    <x:row r="6">
      <x:c r="A6" s="36" t="str">
        <x:v>VAL-001</x:v>
      </x:c>
      <x:c r="B6" s="37" t="str">
        <x:v>Q1</x:v>
      </x:c>
      <x:c r="C6" s="37" t="str">
        <x:v>Integer 16-110</x:v>
      </x:c>
      <x:c r="D6" s="37" t="str">
        <x:v>Enter an age between 16 and 110.</x:v>
      </x:c>
      <x:c r="E6" s="38" t="str">
        <x:v>Block</x:v>
      </x:c>
    </x:row>
    <x:row r="7">
      <x:c r="A7" s="36" t="str">
        <x:v>VAL-002</x:v>
      </x:c>
      <x:c r="B7" s="37" t="str">
        <x:v>Q3</x:v>
      </x:c>
      <x:c r="C7" s="37" t="str">
        <x:v>Decimal 100-250 cm</x:v>
      </x:c>
      <x:c r="D7" s="37" t="str">
        <x:v>Enter a height between 100 and 250 cm.</x:v>
      </x:c>
      <x:c r="E7" s="38" t="str">
        <x:v>Block</x:v>
      </x:c>
    </x:row>
    <x:row r="8">
      <x:c r="A8" s="36" t="str">
        <x:v>VAL-003</x:v>
      </x:c>
      <x:c r="B8" s="37" t="str">
        <x:v>Q4/Q5</x:v>
      </x:c>
      <x:c r="C8" s="37" t="str">
        <x:v>Decimal 25-350 kg; Q5 may be N/A</x:v>
      </x:c>
      <x:c r="D8" s="37" t="str">
        <x:v>Enter a weight between 25 and 350 kg.</x:v>
      </x:c>
      <x:c r="E8" s="38" t="str">
        <x:v>Block</x:v>
      </x:c>
    </x:row>
    <x:row r="9">
      <x:c r="A9" s="36" t="str">
        <x:v>VAL-004</x:v>
      </x:c>
      <x:c r="B9" s="37" t="str">
        <x:v>Q6</x:v>
      </x:c>
      <x:c r="C9" s="37" t="str">
        <x:v>40-200 cm after inch conversion</x:v>
      </x:c>
      <x:c r="D9" s="37" t="str">
        <x:v>Please verify the waist measurement.</x:v>
      </x:c>
      <x:c r="E9" s="38" t="str">
        <x:v>Block</x:v>
      </x:c>
    </x:row>
    <x:row r="10">
      <x:c r="A10" s="36" t="str">
        <x:v>VAL-005</x:v>
      </x:c>
      <x:c r="B10" s="37" t="str">
        <x:v>Likert</x:v>
      </x:c>
      <x:c r="C10" s="37" t="str">
        <x:v>Approved option ID only</x:v>
      </x:c>
      <x:c r="D10" s="37" t="str">
        <x:v>Select one of the available answers.</x:v>
      </x:c>
      <x:c r="E10" s="38" t="str">
        <x:v>Block</x:v>
      </x:c>
    </x:row>
    <x:row r="11">
      <x:c r="A11" s="36" t="str">
        <x:v>VAL-006</x:v>
      </x:c>
      <x:c r="B11" s="37" t="str">
        <x:v>Multi-select</x:v>
      </x:c>
      <x:c r="C11" s="37" t="str">
        <x:v>One or more approved option IDs for required multi-select; empty array invalid; NONE/NA exclusive where provided</x:v>
      </x:c>
      <x:c r="D11" s="37" t="str">
        <x:v>Choose at least one valid option; None/Not applicable cannot be combined with other options.</x:v>
      </x:c>
      <x:c r="E11" s="38" t="str">
        <x:v>Block</x:v>
      </x:c>
    </x:row>
    <x:row r="12">
      <x:c r="A12" s="36" t="str">
        <x:v>VAL-007</x:v>
      </x:c>
      <x:c r="B12" s="37" t="str">
        <x:v>Q69/Q70</x:v>
      </x:c>
      <x:c r="C12" s="37" t="str">
        <x:v>Integer 0-10</x:v>
      </x:c>
      <x:c r="D12" s="37" t="str">
        <x:v>Select a number from 0 to 10.</x:v>
      </x:c>
      <x:c r="E12" s="38" t="str">
        <x:v>Block</x:v>
      </x:c>
    </x:row>
    <x:row r="13">
      <x:c r="A13" s="36" t="str">
        <x:v>VAL-008</x:v>
      </x:c>
      <x:c r="B13" s="37" t="str">
        <x:v>Q73</x:v>
      </x:c>
      <x:c r="C13" s="37" t="str">
        <x:v>0-1000 characters; sanitized</x:v>
      </x:c>
      <x:c r="D13" s="37" t="str">
        <x:v>Keep the response within 1,000 characters.</x:v>
      </x:c>
      <x:c r="E13" s="38" t="str">
        <x:v>Block</x:v>
      </x:c>
    </x:row>
    <x:row r="14">
      <x:c r="A14" s="36" t="str">
        <x:v>VAL-009</x:v>
      </x:c>
      <x:c r="B14" s="37" t="str">
        <x:v>Submission</x:v>
      </x:c>
      <x:c r="C14" s="37" t="str">
        <x:v>All required questions answered or explicit N/A where allowed</x:v>
      </x:c>
      <x:c r="D14" s="37" t="str">
        <x:v>Complete the highlighted questions before submitting.</x:v>
      </x:c>
      <x:c r="E14" s="38" t="str">
        <x:v>Block</x:v>
      </x:c>
    </x:row>
    <x:row r="15">
      <x:c r="A15" s="36" t="str">
        <x:v>VAL-010</x:v>
      </x:c>
      <x:c r="B15" s="37" t="str">
        <x:v>Age eligibility</x:v>
      </x:c>
      <x:c r="C15" s="37" t="str">
        <x:v>Launch defaults to 18+</x:v>
      </x:c>
      <x:c r="D15" s="37" t="str">
        <x:v>This version is currently available to adults aged 18 or older.</x:v>
      </x:c>
      <x:c r="E15" s="38" t="str">
        <x:v>Block</x:v>
      </x:c>
    </x:row>
    <x:row r="16">
      <x:c r="A16" s="39" t="str">
        <x:v>VAL-011</x:v>
      </x:c>
      <x:c r="B16" s="40" t="str">
        <x:v>Emergency text</x:v>
      </x:c>
      <x:c r="C16" s="40" t="str">
        <x:v>Do not treat Q73 as monitored emergency channel</x:v>
      </x:c>
      <x:c r="D16" s="40" t="str">
        <x:v>If you may be in immediate danger, contact local emergency services now.</x:v>
      </x:c>
      <x:c r="E16" s="41" t="str">
        <x:v>Safety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30" customHeight="1">
      <x:c r="A1" s="30" t="str">
        <x:v>Dataset Quality Controls</x:v>
      </x:c>
      <x:c r="B1" s="30"/>
      <x:c r="C1" s="30"/>
      <x:c r="D1" s="30"/>
    </x:row>
    <x:row r="2">
      <x:c r="A2" s="31" t="str">
        <x:v>All PASS results are required before publication. Formula cells are auditable and reference the executable tables.</x:v>
      </x:c>
      <x:c r="B2" s="31"/>
      <x:c r="C2" s="31"/>
      <x:c r="D2" s="31"/>
    </x:row>
    <x:row r="3">
      <x:c r="A3" s="31"/>
      <x:c r="B3" s="31"/>
      <x:c r="C3" s="31"/>
      <x:c r="D3" s="31"/>
    </x:row>
    <x:row r="4">
      <x:c r="A4" s="32"/>
      <x:c r="B4" s="32"/>
      <x:c r="C4" s="32"/>
      <x:c r="D4" s="32"/>
    </x:row>
    <x:row r="5">
      <x:c r="A5" s="47" t="str">
        <x:v>Check</x:v>
      </x:c>
      <x:c r="B5" s="47" t="str">
        <x:v>Formula</x:v>
      </x:c>
      <x:c r="C5" s="47" t="str">
        <x:v>Expected</x:v>
      </x:c>
      <x:c r="D5" s="47" t="str">
        <x:v>Result</x:v>
      </x:c>
    </x:row>
    <x:row r="6">
      <x:c r="A6" s="48" t="str">
        <x:v>Question records</x:v>
      </x:c>
      <x:c r="B6" s="48" t="n">
        <x:f>COUNTA('Questions'!D6:D78)</x:f>
        <x:v>73</x:v>
      </x:c>
      <x:c r="C6" s="48" t="n">
        <x:v>73</x:v>
      </x:c>
      <x:c r="D6" s="48" t="str">
        <x:f>IF(B6=C6,"PASS","FAIL")</x:f>
        <x:v>PASS</x:v>
      </x:c>
    </x:row>
    <x:row r="7">
      <x:c r="A7" s="48" t="str">
        <x:v>Module records</x:v>
      </x:c>
      <x:c r="B7" s="48" t="n">
        <x:f>COUNTA('Modules'!A6:A18)</x:f>
        <x:v>13</x:v>
      </x:c>
      <x:c r="C7" s="48" t="n">
        <x:v>13</x:v>
      </x:c>
      <x:c r="D7" s="48" t="str">
        <x:f>IF(B7=C7,"PASS","FAIL")</x:f>
        <x:v>PASS</x:v>
      </x:c>
    </x:row>
    <x:row r="8">
      <x:c r="A8" s="48" t="str">
        <x:v>First question</x:v>
      </x:c>
      <x:c r="B8" s="48" t="str">
        <x:f>'Questions'!D6</x:f>
        <x:v>Q1</x:v>
      </x:c>
      <x:c r="C8" s="48" t="str">
        <x:v>Q1</x:v>
      </x:c>
      <x:c r="D8" s="48" t="str">
        <x:f>IF(B8=C8,"PASS","FAIL")</x:f>
        <x:v>PASS</x:v>
      </x:c>
    </x:row>
    <x:row r="9">
      <x:c r="A9" s="48" t="str">
        <x:v>Last question</x:v>
      </x:c>
      <x:c r="B9" s="48" t="str">
        <x:f>'Questions'!D78</x:f>
        <x:v>Q73</x:v>
      </x:c>
      <x:c r="C9" s="48" t="str">
        <x:v>Q73</x:v>
      </x:c>
      <x:c r="D9" s="48" t="str">
        <x:f>IF(B9=C9,"PASS","FAIL")</x:f>
        <x:v>PASS</x:v>
      </x:c>
    </x:row>
    <x:row r="10">
      <x:c r="A10" s="48" t="str">
        <x:v>Scoring eligible count</x:v>
      </x:c>
      <x:c r="B10" s="48" t="n">
        <x:f>COUNTA('Questions'!L14:L17)+COUNTA('Questions'!L21:L56)</x:f>
        <x:v>40</x:v>
      </x:c>
      <x:c r="C10" s="48" t="n">
        <x:v>40</x:v>
      </x:c>
      <x:c r="D10" s="48" t="str">
        <x:f>IF(B10=C10,"PASS","FAIL")</x:f>
        <x:v>PASS</x:v>
      </x:c>
    </x:row>
    <x:row r="11">
      <x:c r="A11" s="48" t="str">
        <x:v>Required question count</x:v>
      </x:c>
      <x:c r="B11" s="48" t="n">
        <x:f>COUNTA('Questions'!I6:I76)</x:f>
        <x:v>71</x:v>
      </x:c>
      <x:c r="C11" s="48" t="n">
        <x:v>71</x:v>
      </x:c>
      <x:c r="D11" s="48" t="str">
        <x:f>IF(B11=C11,"PASS","FAIL")</x:f>
        <x:v>PASS</x:v>
      </x:c>
    </x:row>
    <x:row r="12">
      <x:c r="A12" s="48" t="str">
        <x:v>Optional question count</x:v>
      </x:c>
      <x:c r="B12" s="48" t="n">
        <x:f>COUNTA('Questions'!I77:I78)</x:f>
        <x:v>2</x:v>
      </x:c>
      <x:c r="C12" s="48" t="n">
        <x:v>2</x:v>
      </x:c>
      <x:c r="D12" s="48" t="str">
        <x:f>IF(B12=C12,"PASS","FAIL")</x:f>
        <x:v>PASS</x:v>
      </x:c>
    </x:row>
  </x:sheetData>
  <x:mergeCells>
    <x:mergeCell ref="A1:D1"/>
    <x:mergeCell ref="A2:D3"/>
  </x:mergeCells>
  <x:conditionalFormatting sqref="D6:D1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